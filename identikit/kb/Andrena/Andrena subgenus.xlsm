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6" codeName="{A63ED3A1-9429-3D75-F2AA-CA7E51A8F3A1}"/>
  <workbookPr codeName="ThisWorkbook"/>
  <mc:AlternateContent xmlns:mc="http://schemas.openxmlformats.org/markup-compatibility/2006">
    <mc:Choice Requires="x15">
      <x15ac:absPath xmlns:x15ac="http://schemas.microsoft.com/office/spreadsheetml/2010/11/ac" url="/Users/MSR2012/Documents/Tombiovis_WEB/Andrena_PNW_subgenus/identikit/kb/Andrena/"/>
    </mc:Choice>
  </mc:AlternateContent>
  <xr:revisionPtr revIDLastSave="0" documentId="8_{1D78D27A-1BD6-4445-88D1-9EB76F4BBCDE}" xr6:coauthVersionLast="47" xr6:coauthVersionMax="47" xr10:uidLastSave="{00000000-0000-0000-0000-000000000000}"/>
  <bookViews>
    <workbookView xWindow="10080" yWindow="1920" windowWidth="24520" windowHeight="18740" activeTab="5" xr2:uid="{00000000-000D-0000-FFFF-FFFF00000000}"/>
  </bookViews>
  <sheets>
    <sheet name="taxa" sheetId="16" r:id="rId1"/>
    <sheet name="Sheet2" sheetId="28" r:id="rId2"/>
    <sheet name="media-temp" sheetId="24" r:id="rId3"/>
    <sheet name="characters" sheetId="26" r:id="rId4"/>
    <sheet name="values" sheetId="22" r:id="rId5"/>
    <sheet name="media" sheetId="30" r:id="rId6"/>
    <sheet name="config" sheetId="25" r:id="rId7"/>
    <sheet name="taxa May 16" sheetId="29" r:id="rId8"/>
  </sheets>
  <definedNames>
    <definedName name="_xlnm._FilterDatabase" localSheetId="5" hidden="1">media!$H$175:$M$317</definedName>
    <definedName name="_xlnm._FilterDatabase" localSheetId="2" hidden="1">'media-temp'!$H$117:$M$259</definedName>
    <definedName name="A" localSheetId="3">#REF!</definedName>
    <definedName name="A" localSheetId="6">#REF!</definedName>
    <definedName name="A" localSheetId="5">#REF!</definedName>
    <definedName name="A" localSheetId="2">#REF!</definedName>
    <definedName name="A" localSheetId="4">#REF!</definedName>
    <definedName name="A">#REF!</definedName>
    <definedName name="CheliceraSpur" localSheetId="3">#REF!</definedName>
    <definedName name="CheliceraSpur" localSheetId="6">#REF!</definedName>
    <definedName name="CheliceraSpur" localSheetId="5">#REF!</definedName>
    <definedName name="CheliceraSpur" localSheetId="2">#REF!</definedName>
    <definedName name="CheliceraSpur" localSheetId="4">#REF!</definedName>
    <definedName name="CheliceraSpur">#REF!</definedName>
    <definedName name="Top" localSheetId="0">taxa!#REF!</definedName>
    <definedName name="Top" localSheetId="7">'taxa May 16'!#REF!</definedName>
  </definedNames>
  <calcPr calcId="191029"/>
  <webPublishing allowPng="1" targetScreenSize="1024x768" codePage="6500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30" i="16" l="1"/>
  <c r="L168" i="30"/>
  <c r="L169" i="30"/>
  <c r="L167" i="30"/>
  <c r="L145" i="30"/>
  <c r="L146" i="30"/>
  <c r="L147" i="30"/>
  <c r="L29" i="30"/>
  <c r="L35" i="30"/>
  <c r="L34" i="30"/>
  <c r="L171" i="30"/>
  <c r="L172" i="30"/>
  <c r="L170" i="30"/>
  <c r="S180" i="30"/>
  <c r="L180" i="30" s="1"/>
  <c r="S191" i="30"/>
  <c r="L191" i="30" s="1"/>
  <c r="S202" i="30"/>
  <c r="L202" i="30" s="1"/>
  <c r="S205" i="30"/>
  <c r="L205" i="30" s="1"/>
  <c r="S222" i="30"/>
  <c r="L222" i="30" s="1"/>
  <c r="S223" i="30"/>
  <c r="L223" i="30" s="1"/>
  <c r="S237" i="30"/>
  <c r="L237" i="30" s="1"/>
  <c r="S239" i="30"/>
  <c r="L239" i="30" s="1"/>
  <c r="S255" i="30"/>
  <c r="L255" i="30" s="1"/>
  <c r="S267" i="30"/>
  <c r="L267" i="30" s="1"/>
  <c r="S277" i="30"/>
  <c r="L277" i="30" s="1"/>
  <c r="S292" i="30"/>
  <c r="L292" i="30" s="1"/>
  <c r="S303" i="30"/>
  <c r="L303" i="30" s="1"/>
  <c r="L25" i="30"/>
  <c r="L26" i="30"/>
  <c r="L27" i="30"/>
  <c r="L28" i="30"/>
  <c r="L24" i="30"/>
  <c r="P317" i="30"/>
  <c r="S317" i="30" s="1"/>
  <c r="L317" i="30" s="1"/>
  <c r="P316" i="30"/>
  <c r="S316" i="30" s="1"/>
  <c r="L316" i="30" s="1"/>
  <c r="P315" i="30"/>
  <c r="S315" i="30" s="1"/>
  <c r="P314" i="30"/>
  <c r="S314" i="30" s="1"/>
  <c r="L314" i="30" s="1"/>
  <c r="P313" i="30"/>
  <c r="S313" i="30" s="1"/>
  <c r="P312" i="30"/>
  <c r="S312" i="30" s="1"/>
  <c r="L312" i="30" s="1"/>
  <c r="P311" i="30"/>
  <c r="S311" i="30" s="1"/>
  <c r="P310" i="30"/>
  <c r="S310" i="30" s="1"/>
  <c r="L310" i="30" s="1"/>
  <c r="P309" i="30"/>
  <c r="S309" i="30" s="1"/>
  <c r="P308" i="30"/>
  <c r="S308" i="30" s="1"/>
  <c r="L308" i="30" s="1"/>
  <c r="P307" i="30"/>
  <c r="S307" i="30" s="1"/>
  <c r="P306" i="30"/>
  <c r="S306" i="30" s="1"/>
  <c r="L306" i="30" s="1"/>
  <c r="P305" i="30"/>
  <c r="S305" i="30" s="1"/>
  <c r="P304" i="30"/>
  <c r="S304" i="30" s="1"/>
  <c r="L304" i="30" s="1"/>
  <c r="P302" i="30"/>
  <c r="S302" i="30" s="1"/>
  <c r="P301" i="30"/>
  <c r="P300" i="30"/>
  <c r="P299" i="30"/>
  <c r="S299" i="30" s="1"/>
  <c r="L299" i="30" s="1"/>
  <c r="P298" i="30"/>
  <c r="S298" i="30" s="1"/>
  <c r="P297" i="30"/>
  <c r="S297" i="30" s="1"/>
  <c r="L297" i="30" s="1"/>
  <c r="P296" i="30"/>
  <c r="P295" i="30"/>
  <c r="S295" i="30" s="1"/>
  <c r="L295" i="30" s="1"/>
  <c r="P294" i="30"/>
  <c r="P293" i="30"/>
  <c r="S293" i="30" s="1"/>
  <c r="L293" i="30" s="1"/>
  <c r="P291" i="30"/>
  <c r="S291" i="30" s="1"/>
  <c r="L291" i="30" s="1"/>
  <c r="P290" i="30"/>
  <c r="S290" i="30" s="1"/>
  <c r="P289" i="30"/>
  <c r="S289" i="30" s="1"/>
  <c r="L289" i="30" s="1"/>
  <c r="P288" i="30"/>
  <c r="P287" i="30"/>
  <c r="S287" i="30" s="1"/>
  <c r="L287" i="30" s="1"/>
  <c r="P286" i="30"/>
  <c r="S286" i="30" s="1"/>
  <c r="P285" i="30"/>
  <c r="S285" i="30" s="1"/>
  <c r="L285" i="30" s="1"/>
  <c r="P284" i="30"/>
  <c r="P283" i="30"/>
  <c r="S283" i="30" s="1"/>
  <c r="L283" i="30" s="1"/>
  <c r="P282" i="30"/>
  <c r="S282" i="30" s="1"/>
  <c r="P281" i="30"/>
  <c r="S281" i="30" s="1"/>
  <c r="L281" i="30" s="1"/>
  <c r="P280" i="30"/>
  <c r="S280" i="30" s="1"/>
  <c r="P279" i="30"/>
  <c r="S279" i="30" s="1"/>
  <c r="L279" i="30" s="1"/>
  <c r="P278" i="30"/>
  <c r="S278" i="30" s="1"/>
  <c r="P276" i="30"/>
  <c r="S276" i="30" s="1"/>
  <c r="L276" i="30" s="1"/>
  <c r="P275" i="30"/>
  <c r="P274" i="30"/>
  <c r="S274" i="30" s="1"/>
  <c r="L274" i="30" s="1"/>
  <c r="P273" i="30"/>
  <c r="S273" i="30" s="1"/>
  <c r="P272" i="30"/>
  <c r="S272" i="30" s="1"/>
  <c r="L272" i="30" s="1"/>
  <c r="P271" i="30"/>
  <c r="S271" i="30" s="1"/>
  <c r="P270" i="30"/>
  <c r="S270" i="30" s="1"/>
  <c r="L270" i="30" s="1"/>
  <c r="P269" i="30"/>
  <c r="P268" i="30"/>
  <c r="S268" i="30" s="1"/>
  <c r="L268" i="30" s="1"/>
  <c r="P266" i="30"/>
  <c r="S266" i="30" s="1"/>
  <c r="P265" i="30"/>
  <c r="S265" i="30" s="1"/>
  <c r="L265" i="30" s="1"/>
  <c r="P264" i="30"/>
  <c r="P263" i="30"/>
  <c r="S263" i="30" s="1"/>
  <c r="L263" i="30" s="1"/>
  <c r="P262" i="30"/>
  <c r="P261" i="30"/>
  <c r="S261" i="30" s="1"/>
  <c r="L261" i="30" s="1"/>
  <c r="P260" i="30"/>
  <c r="S260" i="30" s="1"/>
  <c r="P258" i="30"/>
  <c r="S258" i="30" s="1"/>
  <c r="L258" i="30" s="1"/>
  <c r="P257" i="30"/>
  <c r="S257" i="30" s="1"/>
  <c r="P256" i="30"/>
  <c r="S256" i="30" s="1"/>
  <c r="L256" i="30" s="1"/>
  <c r="P254" i="30"/>
  <c r="S254" i="30" s="1"/>
  <c r="L254" i="30" s="1"/>
  <c r="P253" i="30"/>
  <c r="S253" i="30" s="1"/>
  <c r="P252" i="30"/>
  <c r="S252" i="30" s="1"/>
  <c r="L252" i="30" s="1"/>
  <c r="P251" i="30"/>
  <c r="S251" i="30" s="1"/>
  <c r="P250" i="30"/>
  <c r="S250" i="30" s="1"/>
  <c r="L250" i="30" s="1"/>
  <c r="P249" i="30"/>
  <c r="S249" i="30" s="1"/>
  <c r="P248" i="30"/>
  <c r="S248" i="30" s="1"/>
  <c r="L248" i="30" s="1"/>
  <c r="P247" i="30"/>
  <c r="S247" i="30" s="1"/>
  <c r="P246" i="30"/>
  <c r="S246" i="30" s="1"/>
  <c r="L246" i="30" s="1"/>
  <c r="P245" i="30"/>
  <c r="S245" i="30" s="1"/>
  <c r="P244" i="30"/>
  <c r="S244" i="30" s="1"/>
  <c r="L244" i="30" s="1"/>
  <c r="P243" i="30"/>
  <c r="S243" i="30" s="1"/>
  <c r="P242" i="30"/>
  <c r="S242" i="30" s="1"/>
  <c r="L242" i="30" s="1"/>
  <c r="P241" i="30"/>
  <c r="S241" i="30" s="1"/>
  <c r="P240" i="30"/>
  <c r="S240" i="30" s="1"/>
  <c r="L240" i="30" s="1"/>
  <c r="P238" i="30"/>
  <c r="S238" i="30" s="1"/>
  <c r="L238" i="30" s="1"/>
  <c r="P236" i="30"/>
  <c r="S236" i="30" s="1"/>
  <c r="P235" i="30"/>
  <c r="S235" i="30" s="1"/>
  <c r="L235" i="30" s="1"/>
  <c r="P234" i="30"/>
  <c r="S234" i="30" s="1"/>
  <c r="P233" i="30"/>
  <c r="S233" i="30" s="1"/>
  <c r="L233" i="30" s="1"/>
  <c r="P232" i="30"/>
  <c r="P231" i="30"/>
  <c r="S231" i="30" s="1"/>
  <c r="L231" i="30" s="1"/>
  <c r="P230" i="30"/>
  <c r="S230" i="30" s="1"/>
  <c r="P229" i="30"/>
  <c r="S229" i="30" s="1"/>
  <c r="L229" i="30" s="1"/>
  <c r="P228" i="30"/>
  <c r="P227" i="30"/>
  <c r="S227" i="30" s="1"/>
  <c r="L227" i="30" s="1"/>
  <c r="P226" i="30"/>
  <c r="P225" i="30"/>
  <c r="S225" i="30" s="1"/>
  <c r="L225" i="30" s="1"/>
  <c r="P224" i="30"/>
  <c r="S224" i="30" s="1"/>
  <c r="P221" i="30"/>
  <c r="S221" i="30" s="1"/>
  <c r="L221" i="30" s="1"/>
  <c r="P220" i="30"/>
  <c r="P219" i="30"/>
  <c r="S219" i="30" s="1"/>
  <c r="L219" i="30" s="1"/>
  <c r="P218" i="30"/>
  <c r="P217" i="30"/>
  <c r="S217" i="30" s="1"/>
  <c r="L217" i="30" s="1"/>
  <c r="P216" i="30"/>
  <c r="S216" i="30" s="1"/>
  <c r="P215" i="30"/>
  <c r="S215" i="30" s="1"/>
  <c r="L215" i="30" s="1"/>
  <c r="P214" i="30"/>
  <c r="S214" i="30" s="1"/>
  <c r="P213" i="30"/>
  <c r="S213" i="30" s="1"/>
  <c r="L213" i="30" s="1"/>
  <c r="P212" i="30"/>
  <c r="P211" i="30"/>
  <c r="S211" i="30" s="1"/>
  <c r="L211" i="30" s="1"/>
  <c r="P210" i="30"/>
  <c r="S210" i="30" s="1"/>
  <c r="P209" i="30"/>
  <c r="S209" i="30" s="1"/>
  <c r="L209" i="30" s="1"/>
  <c r="P208" i="30"/>
  <c r="S208" i="30" s="1"/>
  <c r="P207" i="30"/>
  <c r="S207" i="30" s="1"/>
  <c r="L207" i="30" s="1"/>
  <c r="P206" i="30"/>
  <c r="S206" i="30" s="1"/>
  <c r="P204" i="30"/>
  <c r="P203" i="30"/>
  <c r="S203" i="30" s="1"/>
  <c r="L203" i="30" s="1"/>
  <c r="P201" i="30"/>
  <c r="S201" i="30" s="1"/>
  <c r="P200" i="30"/>
  <c r="S200" i="30" s="1"/>
  <c r="L200" i="30" s="1"/>
  <c r="P199" i="30"/>
  <c r="S199" i="30" s="1"/>
  <c r="P198" i="30"/>
  <c r="S198" i="30" s="1"/>
  <c r="L198" i="30" s="1"/>
  <c r="P197" i="30"/>
  <c r="S197" i="30" s="1"/>
  <c r="P196" i="30"/>
  <c r="S196" i="30" s="1"/>
  <c r="L196" i="30" s="1"/>
  <c r="P195" i="30"/>
  <c r="S195" i="30" s="1"/>
  <c r="P194" i="30"/>
  <c r="S194" i="30" s="1"/>
  <c r="L194" i="30" s="1"/>
  <c r="P193" i="30"/>
  <c r="S193" i="30" s="1"/>
  <c r="P192" i="30"/>
  <c r="S192" i="30" s="1"/>
  <c r="L192" i="30" s="1"/>
  <c r="P190" i="30"/>
  <c r="S190" i="30" s="1"/>
  <c r="P189" i="30"/>
  <c r="S189" i="30" s="1"/>
  <c r="L189" i="30" s="1"/>
  <c r="P188" i="30"/>
  <c r="P187" i="30"/>
  <c r="S187" i="30" s="1"/>
  <c r="L187" i="30" s="1"/>
  <c r="P186" i="30"/>
  <c r="S186" i="30" s="1"/>
  <c r="P185" i="30"/>
  <c r="S185" i="30" s="1"/>
  <c r="L185" i="30" s="1"/>
  <c r="P184" i="30"/>
  <c r="S184" i="30" s="1"/>
  <c r="P183" i="30"/>
  <c r="S183" i="30" s="1"/>
  <c r="L183" i="30" s="1"/>
  <c r="P182" i="30"/>
  <c r="P181" i="30"/>
  <c r="S181" i="30" s="1"/>
  <c r="L181" i="30" s="1"/>
  <c r="P179" i="30"/>
  <c r="S179" i="30" s="1"/>
  <c r="P178" i="30"/>
  <c r="S178" i="30" s="1"/>
  <c r="L178" i="30" s="1"/>
  <c r="P177" i="30"/>
  <c r="S177" i="30" s="1"/>
  <c r="P176" i="30"/>
  <c r="S176" i="30" s="1"/>
  <c r="L176" i="30" s="1"/>
  <c r="P175" i="30"/>
  <c r="M28" i="30"/>
  <c r="M27" i="30"/>
  <c r="M26" i="30"/>
  <c r="M25" i="30"/>
  <c r="M24" i="30"/>
  <c r="M114" i="24"/>
  <c r="M115" i="24"/>
  <c r="M113" i="24"/>
  <c r="M25" i="24"/>
  <c r="M24" i="24"/>
  <c r="M22" i="24"/>
  <c r="M23" i="24"/>
  <c r="M21" i="24"/>
  <c r="S122" i="24"/>
  <c r="L122" i="24" s="1"/>
  <c r="S133" i="24"/>
  <c r="L133" i="24" s="1"/>
  <c r="S144" i="24"/>
  <c r="L144" i="24" s="1"/>
  <c r="S147" i="24"/>
  <c r="L147" i="24" s="1"/>
  <c r="S164" i="24"/>
  <c r="L164" i="24" s="1"/>
  <c r="S165" i="24"/>
  <c r="L165" i="24" s="1"/>
  <c r="S179" i="24"/>
  <c r="L179" i="24" s="1"/>
  <c r="S181" i="24"/>
  <c r="L181" i="24" s="1"/>
  <c r="S198" i="24"/>
  <c r="L198" i="24" s="1"/>
  <c r="S209" i="24"/>
  <c r="L209" i="24" s="1"/>
  <c r="S219" i="24"/>
  <c r="L219" i="24" s="1"/>
  <c r="S234" i="24"/>
  <c r="L234" i="24" s="1"/>
  <c r="S245" i="24"/>
  <c r="L245" i="24" s="1"/>
  <c r="B118" i="24"/>
  <c r="B119" i="24"/>
  <c r="B120" i="24"/>
  <c r="B121" i="24"/>
  <c r="B122" i="24"/>
  <c r="B123" i="24"/>
  <c r="B124" i="24"/>
  <c r="B125" i="24"/>
  <c r="B126" i="24"/>
  <c r="B127" i="24"/>
  <c r="B128" i="24"/>
  <c r="B129" i="24"/>
  <c r="B130" i="24"/>
  <c r="B131" i="24"/>
  <c r="B132" i="24"/>
  <c r="B133" i="24"/>
  <c r="B134" i="24"/>
  <c r="B135" i="24"/>
  <c r="B136" i="24"/>
  <c r="B137" i="24"/>
  <c r="B138" i="24"/>
  <c r="B139" i="24"/>
  <c r="B140" i="24"/>
  <c r="B141" i="24"/>
  <c r="B142" i="24"/>
  <c r="B143" i="24"/>
  <c r="B144" i="24"/>
  <c r="B145" i="24"/>
  <c r="B146" i="24"/>
  <c r="B147" i="24"/>
  <c r="B148" i="24"/>
  <c r="B149" i="24"/>
  <c r="B150" i="24"/>
  <c r="B151" i="24"/>
  <c r="B152" i="24"/>
  <c r="B153" i="24"/>
  <c r="B154" i="24"/>
  <c r="B155" i="24"/>
  <c r="B156" i="24"/>
  <c r="B157" i="24"/>
  <c r="B158" i="24"/>
  <c r="B159" i="24"/>
  <c r="B160" i="24"/>
  <c r="B161" i="24"/>
  <c r="B162" i="24"/>
  <c r="B163" i="24"/>
  <c r="B164" i="24"/>
  <c r="B165" i="24"/>
  <c r="B166" i="24"/>
  <c r="B167" i="24"/>
  <c r="B168" i="24"/>
  <c r="B169" i="24"/>
  <c r="B170" i="24"/>
  <c r="B171" i="24"/>
  <c r="B172" i="24"/>
  <c r="B173" i="24"/>
  <c r="B174" i="24"/>
  <c r="B175" i="24"/>
  <c r="B176" i="24"/>
  <c r="B177" i="24"/>
  <c r="B178" i="24"/>
  <c r="B179" i="24"/>
  <c r="B180" i="24"/>
  <c r="B181" i="24"/>
  <c r="B182" i="24"/>
  <c r="B183" i="24"/>
  <c r="B184" i="24"/>
  <c r="B185" i="24"/>
  <c r="B186" i="24"/>
  <c r="B187" i="24"/>
  <c r="B188" i="24"/>
  <c r="B189" i="24"/>
  <c r="B190" i="24"/>
  <c r="B191" i="24"/>
  <c r="B192" i="24"/>
  <c r="B193" i="24"/>
  <c r="B194" i="24"/>
  <c r="B195" i="24"/>
  <c r="B196" i="24"/>
  <c r="B197" i="24"/>
  <c r="B198" i="24"/>
  <c r="B199" i="24"/>
  <c r="B200" i="24"/>
  <c r="B201" i="24"/>
  <c r="B202" i="24"/>
  <c r="B203" i="24"/>
  <c r="B204" i="24"/>
  <c r="B205" i="24"/>
  <c r="B206" i="24"/>
  <c r="B207" i="24"/>
  <c r="B208" i="24"/>
  <c r="B209" i="24"/>
  <c r="B210" i="24"/>
  <c r="B211" i="24"/>
  <c r="B212" i="24"/>
  <c r="B213" i="24"/>
  <c r="B214" i="24"/>
  <c r="B215" i="24"/>
  <c r="B216" i="24"/>
  <c r="B217" i="24"/>
  <c r="B218" i="24"/>
  <c r="B219" i="24"/>
  <c r="B220" i="24"/>
  <c r="B221" i="24"/>
  <c r="B222" i="24"/>
  <c r="B223" i="24"/>
  <c r="B224" i="24"/>
  <c r="B225" i="24"/>
  <c r="B226" i="24"/>
  <c r="B227" i="24"/>
  <c r="B228" i="24"/>
  <c r="B229" i="24"/>
  <c r="B230" i="24"/>
  <c r="B231" i="24"/>
  <c r="B232" i="24"/>
  <c r="B233" i="24"/>
  <c r="B234" i="24"/>
  <c r="B235" i="24"/>
  <c r="B236" i="24"/>
  <c r="B237" i="24"/>
  <c r="B238" i="24"/>
  <c r="B239" i="24"/>
  <c r="B240" i="24"/>
  <c r="B241" i="24"/>
  <c r="B242" i="24"/>
  <c r="B243" i="24"/>
  <c r="B244" i="24"/>
  <c r="B245" i="24"/>
  <c r="B246" i="24"/>
  <c r="B247" i="24"/>
  <c r="B248" i="24"/>
  <c r="B249" i="24"/>
  <c r="B250" i="24"/>
  <c r="B251" i="24"/>
  <c r="B252" i="24"/>
  <c r="B253" i="24"/>
  <c r="B254" i="24"/>
  <c r="B255" i="24"/>
  <c r="B256" i="24"/>
  <c r="B257" i="24"/>
  <c r="B258" i="24"/>
  <c r="B117" i="24"/>
  <c r="P148" i="24"/>
  <c r="S148" i="24" s="1"/>
  <c r="L148" i="24" s="1"/>
  <c r="P243" i="24"/>
  <c r="S243" i="24" s="1"/>
  <c r="L243" i="24" s="1"/>
  <c r="P123" i="24"/>
  <c r="S123" i="24" s="1"/>
  <c r="L123" i="24" s="1"/>
  <c r="P117" i="24"/>
  <c r="S117" i="24" s="1"/>
  <c r="L117" i="24" s="1"/>
  <c r="P118" i="24"/>
  <c r="S118" i="24" s="1"/>
  <c r="L118" i="24" s="1"/>
  <c r="P119" i="24"/>
  <c r="S119" i="24" s="1"/>
  <c r="L119" i="24" s="1"/>
  <c r="P120" i="24"/>
  <c r="S120" i="24" s="1"/>
  <c r="L120" i="24" s="1"/>
  <c r="P121" i="24"/>
  <c r="S121" i="24" s="1"/>
  <c r="L121" i="24" s="1"/>
  <c r="P124" i="24"/>
  <c r="S124" i="24" s="1"/>
  <c r="L124" i="24" s="1"/>
  <c r="P125" i="24"/>
  <c r="S125" i="24" s="1"/>
  <c r="L125" i="24" s="1"/>
  <c r="P126" i="24"/>
  <c r="S126" i="24" s="1"/>
  <c r="L126" i="24" s="1"/>
  <c r="P127" i="24"/>
  <c r="S127" i="24" s="1"/>
  <c r="L127" i="24" s="1"/>
  <c r="P128" i="24"/>
  <c r="S128" i="24" s="1"/>
  <c r="L128" i="24" s="1"/>
  <c r="P129" i="24"/>
  <c r="S129" i="24" s="1"/>
  <c r="L129" i="24" s="1"/>
  <c r="P130" i="24"/>
  <c r="S130" i="24" s="1"/>
  <c r="L130" i="24" s="1"/>
  <c r="P131" i="24"/>
  <c r="S131" i="24" s="1"/>
  <c r="L131" i="24" s="1"/>
  <c r="P132" i="24"/>
  <c r="S132" i="24" s="1"/>
  <c r="L132" i="24" s="1"/>
  <c r="P134" i="24"/>
  <c r="S134" i="24" s="1"/>
  <c r="L134" i="24" s="1"/>
  <c r="P135" i="24"/>
  <c r="S135" i="24" s="1"/>
  <c r="L135" i="24" s="1"/>
  <c r="P136" i="24"/>
  <c r="S136" i="24" s="1"/>
  <c r="L136" i="24" s="1"/>
  <c r="P137" i="24"/>
  <c r="S137" i="24" s="1"/>
  <c r="L137" i="24" s="1"/>
  <c r="P138" i="24"/>
  <c r="S138" i="24" s="1"/>
  <c r="L138" i="24" s="1"/>
  <c r="P139" i="24"/>
  <c r="S139" i="24" s="1"/>
  <c r="L139" i="24" s="1"/>
  <c r="P140" i="24"/>
  <c r="S140" i="24" s="1"/>
  <c r="L140" i="24" s="1"/>
  <c r="P141" i="24"/>
  <c r="S141" i="24" s="1"/>
  <c r="L141" i="24" s="1"/>
  <c r="P142" i="24"/>
  <c r="S142" i="24" s="1"/>
  <c r="L142" i="24" s="1"/>
  <c r="P143" i="24"/>
  <c r="S143" i="24" s="1"/>
  <c r="L143" i="24" s="1"/>
  <c r="P145" i="24"/>
  <c r="S145" i="24" s="1"/>
  <c r="L145" i="24" s="1"/>
  <c r="P146" i="24"/>
  <c r="S146" i="24" s="1"/>
  <c r="L146" i="24" s="1"/>
  <c r="P149" i="24"/>
  <c r="S149" i="24" s="1"/>
  <c r="L149" i="24" s="1"/>
  <c r="P150" i="24"/>
  <c r="S150" i="24" s="1"/>
  <c r="L150" i="24" s="1"/>
  <c r="P151" i="24"/>
  <c r="S151" i="24" s="1"/>
  <c r="L151" i="24" s="1"/>
  <c r="P152" i="24"/>
  <c r="S152" i="24" s="1"/>
  <c r="L152" i="24" s="1"/>
  <c r="P153" i="24"/>
  <c r="S153" i="24" s="1"/>
  <c r="L153" i="24" s="1"/>
  <c r="P154" i="24"/>
  <c r="S154" i="24" s="1"/>
  <c r="L154" i="24" s="1"/>
  <c r="P155" i="24"/>
  <c r="S155" i="24" s="1"/>
  <c r="L155" i="24" s="1"/>
  <c r="P156" i="24"/>
  <c r="S156" i="24" s="1"/>
  <c r="L156" i="24" s="1"/>
  <c r="P157" i="24"/>
  <c r="S157" i="24" s="1"/>
  <c r="L157" i="24" s="1"/>
  <c r="P158" i="24"/>
  <c r="S158" i="24" s="1"/>
  <c r="L158" i="24" s="1"/>
  <c r="P159" i="24"/>
  <c r="S159" i="24" s="1"/>
  <c r="L159" i="24" s="1"/>
  <c r="P160" i="24"/>
  <c r="S160" i="24" s="1"/>
  <c r="L160" i="24" s="1"/>
  <c r="P161" i="24"/>
  <c r="S161" i="24" s="1"/>
  <c r="L161" i="24" s="1"/>
  <c r="P162" i="24"/>
  <c r="S162" i="24" s="1"/>
  <c r="L162" i="24" s="1"/>
  <c r="P163" i="24"/>
  <c r="S163" i="24" s="1"/>
  <c r="L163" i="24" s="1"/>
  <c r="P166" i="24"/>
  <c r="S166" i="24" s="1"/>
  <c r="L166" i="24" s="1"/>
  <c r="P167" i="24"/>
  <c r="S167" i="24" s="1"/>
  <c r="L167" i="24" s="1"/>
  <c r="P168" i="24"/>
  <c r="S168" i="24" s="1"/>
  <c r="L168" i="24" s="1"/>
  <c r="P169" i="24"/>
  <c r="S169" i="24" s="1"/>
  <c r="L169" i="24" s="1"/>
  <c r="P170" i="24"/>
  <c r="S170" i="24" s="1"/>
  <c r="L170" i="24" s="1"/>
  <c r="P171" i="24"/>
  <c r="S171" i="24" s="1"/>
  <c r="L171" i="24" s="1"/>
  <c r="P172" i="24"/>
  <c r="S172" i="24" s="1"/>
  <c r="L172" i="24" s="1"/>
  <c r="P173" i="24"/>
  <c r="S173" i="24" s="1"/>
  <c r="L173" i="24" s="1"/>
  <c r="P174" i="24"/>
  <c r="S174" i="24" s="1"/>
  <c r="L174" i="24" s="1"/>
  <c r="P175" i="24"/>
  <c r="S175" i="24" s="1"/>
  <c r="L175" i="24" s="1"/>
  <c r="P176" i="24"/>
  <c r="S176" i="24" s="1"/>
  <c r="L176" i="24" s="1"/>
  <c r="P177" i="24"/>
  <c r="S177" i="24" s="1"/>
  <c r="L177" i="24" s="1"/>
  <c r="P178" i="24"/>
  <c r="S178" i="24" s="1"/>
  <c r="L178" i="24" s="1"/>
  <c r="P180" i="24"/>
  <c r="S180" i="24" s="1"/>
  <c r="L180" i="24" s="1"/>
  <c r="P182" i="24"/>
  <c r="S182" i="24" s="1"/>
  <c r="L182" i="24" s="1"/>
  <c r="P183" i="24"/>
  <c r="S183" i="24" s="1"/>
  <c r="L183" i="24" s="1"/>
  <c r="P184" i="24"/>
  <c r="S184" i="24" s="1"/>
  <c r="L184" i="24" s="1"/>
  <c r="P185" i="24"/>
  <c r="S185" i="24" s="1"/>
  <c r="L185" i="24" s="1"/>
  <c r="P186" i="24"/>
  <c r="S186" i="24" s="1"/>
  <c r="L186" i="24" s="1"/>
  <c r="P187" i="24"/>
  <c r="S187" i="24" s="1"/>
  <c r="L187" i="24" s="1"/>
  <c r="P188" i="24"/>
  <c r="S188" i="24" s="1"/>
  <c r="L188" i="24" s="1"/>
  <c r="P189" i="24"/>
  <c r="S189" i="24" s="1"/>
  <c r="L189" i="24" s="1"/>
  <c r="P190" i="24"/>
  <c r="S190" i="24" s="1"/>
  <c r="L190" i="24" s="1"/>
  <c r="P191" i="24"/>
  <c r="S191" i="24" s="1"/>
  <c r="L191" i="24" s="1"/>
  <c r="P192" i="24"/>
  <c r="S192" i="24" s="1"/>
  <c r="L192" i="24" s="1"/>
  <c r="P193" i="24"/>
  <c r="S193" i="24" s="1"/>
  <c r="L193" i="24" s="1"/>
  <c r="P194" i="24"/>
  <c r="S194" i="24" s="1"/>
  <c r="L194" i="24" s="1"/>
  <c r="P195" i="24"/>
  <c r="S195" i="24" s="1"/>
  <c r="L195" i="24" s="1"/>
  <c r="P196" i="24"/>
  <c r="S196" i="24" s="1"/>
  <c r="L196" i="24" s="1"/>
  <c r="P197" i="24"/>
  <c r="S197" i="24" s="1"/>
  <c r="L197" i="24" s="1"/>
  <c r="P199" i="24"/>
  <c r="S199" i="24" s="1"/>
  <c r="L199" i="24" s="1"/>
  <c r="P200" i="24"/>
  <c r="S200" i="24" s="1"/>
  <c r="L200" i="24" s="1"/>
  <c r="P201" i="24"/>
  <c r="S201" i="24" s="1"/>
  <c r="L201" i="24" s="1"/>
  <c r="P202" i="24"/>
  <c r="S202" i="24" s="1"/>
  <c r="L202" i="24" s="1"/>
  <c r="P203" i="24"/>
  <c r="S203" i="24" s="1"/>
  <c r="L203" i="24" s="1"/>
  <c r="P204" i="24"/>
  <c r="S204" i="24" s="1"/>
  <c r="L204" i="24" s="1"/>
  <c r="P205" i="24"/>
  <c r="S205" i="24" s="1"/>
  <c r="L205" i="24" s="1"/>
  <c r="P206" i="24"/>
  <c r="S206" i="24" s="1"/>
  <c r="L206" i="24" s="1"/>
  <c r="P207" i="24"/>
  <c r="S207" i="24" s="1"/>
  <c r="L207" i="24" s="1"/>
  <c r="P208" i="24"/>
  <c r="S208" i="24" s="1"/>
  <c r="L208" i="24" s="1"/>
  <c r="P210" i="24"/>
  <c r="S210" i="24" s="1"/>
  <c r="L210" i="24" s="1"/>
  <c r="P211" i="24"/>
  <c r="S211" i="24" s="1"/>
  <c r="L211" i="24" s="1"/>
  <c r="P212" i="24"/>
  <c r="S212" i="24" s="1"/>
  <c r="L212" i="24" s="1"/>
  <c r="P213" i="24"/>
  <c r="S213" i="24" s="1"/>
  <c r="L213" i="24" s="1"/>
  <c r="P214" i="24"/>
  <c r="S214" i="24" s="1"/>
  <c r="L214" i="24" s="1"/>
  <c r="P215" i="24"/>
  <c r="S215" i="24" s="1"/>
  <c r="L215" i="24" s="1"/>
  <c r="P216" i="24"/>
  <c r="S216" i="24" s="1"/>
  <c r="L216" i="24" s="1"/>
  <c r="P217" i="24"/>
  <c r="S217" i="24" s="1"/>
  <c r="L217" i="24" s="1"/>
  <c r="P218" i="24"/>
  <c r="S218" i="24" s="1"/>
  <c r="L218" i="24" s="1"/>
  <c r="P220" i="24"/>
  <c r="S220" i="24" s="1"/>
  <c r="L220" i="24" s="1"/>
  <c r="P221" i="24"/>
  <c r="S221" i="24" s="1"/>
  <c r="L221" i="24" s="1"/>
  <c r="P222" i="24"/>
  <c r="S222" i="24" s="1"/>
  <c r="L222" i="24" s="1"/>
  <c r="P223" i="24"/>
  <c r="S223" i="24" s="1"/>
  <c r="L223" i="24" s="1"/>
  <c r="P224" i="24"/>
  <c r="S224" i="24" s="1"/>
  <c r="L224" i="24" s="1"/>
  <c r="P225" i="24"/>
  <c r="S225" i="24" s="1"/>
  <c r="L225" i="24" s="1"/>
  <c r="P226" i="24"/>
  <c r="S226" i="24" s="1"/>
  <c r="L226" i="24" s="1"/>
  <c r="P227" i="24"/>
  <c r="S227" i="24" s="1"/>
  <c r="L227" i="24" s="1"/>
  <c r="P228" i="24"/>
  <c r="S228" i="24" s="1"/>
  <c r="L228" i="24" s="1"/>
  <c r="P229" i="24"/>
  <c r="S229" i="24" s="1"/>
  <c r="L229" i="24" s="1"/>
  <c r="P230" i="24"/>
  <c r="S230" i="24" s="1"/>
  <c r="L230" i="24" s="1"/>
  <c r="P231" i="24"/>
  <c r="S231" i="24" s="1"/>
  <c r="L231" i="24" s="1"/>
  <c r="P232" i="24"/>
  <c r="S232" i="24" s="1"/>
  <c r="L232" i="24" s="1"/>
  <c r="P233" i="24"/>
  <c r="S233" i="24" s="1"/>
  <c r="L233" i="24" s="1"/>
  <c r="P235" i="24"/>
  <c r="S235" i="24" s="1"/>
  <c r="L235" i="24" s="1"/>
  <c r="P236" i="24"/>
  <c r="S236" i="24" s="1"/>
  <c r="L236" i="24" s="1"/>
  <c r="P237" i="24"/>
  <c r="S237" i="24" s="1"/>
  <c r="L237" i="24" s="1"/>
  <c r="P238" i="24"/>
  <c r="S238" i="24" s="1"/>
  <c r="L238" i="24" s="1"/>
  <c r="P239" i="24"/>
  <c r="S239" i="24" s="1"/>
  <c r="L239" i="24" s="1"/>
  <c r="P240" i="24"/>
  <c r="S240" i="24" s="1"/>
  <c r="L240" i="24" s="1"/>
  <c r="P241" i="24"/>
  <c r="S241" i="24" s="1"/>
  <c r="L241" i="24" s="1"/>
  <c r="P242" i="24"/>
  <c r="S242" i="24" s="1"/>
  <c r="L242" i="24" s="1"/>
  <c r="P244" i="24"/>
  <c r="S244" i="24" s="1"/>
  <c r="L244" i="24" s="1"/>
  <c r="P246" i="24"/>
  <c r="S246" i="24" s="1"/>
  <c r="L246" i="24" s="1"/>
  <c r="P247" i="24"/>
  <c r="S247" i="24" s="1"/>
  <c r="L247" i="24" s="1"/>
  <c r="P248" i="24"/>
  <c r="S248" i="24" s="1"/>
  <c r="L248" i="24" s="1"/>
  <c r="P249" i="24"/>
  <c r="S249" i="24" s="1"/>
  <c r="L249" i="24" s="1"/>
  <c r="P250" i="24"/>
  <c r="S250" i="24" s="1"/>
  <c r="L250" i="24" s="1"/>
  <c r="P251" i="24"/>
  <c r="S251" i="24" s="1"/>
  <c r="L251" i="24" s="1"/>
  <c r="P252" i="24"/>
  <c r="S252" i="24" s="1"/>
  <c r="L252" i="24" s="1"/>
  <c r="P253" i="24"/>
  <c r="S253" i="24" s="1"/>
  <c r="L253" i="24" s="1"/>
  <c r="P254" i="24"/>
  <c r="S254" i="24" s="1"/>
  <c r="L254" i="24" s="1"/>
  <c r="P255" i="24"/>
  <c r="S255" i="24" s="1"/>
  <c r="L255" i="24" s="1"/>
  <c r="P256" i="24"/>
  <c r="S256" i="24" s="1"/>
  <c r="L256" i="24" s="1"/>
  <c r="P257" i="24"/>
  <c r="S257" i="24" s="1"/>
  <c r="L257" i="24" s="1"/>
  <c r="P258" i="24"/>
  <c r="S258" i="24" s="1"/>
  <c r="L258" i="24" s="1"/>
  <c r="P259" i="24"/>
  <c r="S259" i="24" s="1"/>
  <c r="L259" i="24" s="1"/>
  <c r="S275" i="30" l="1"/>
  <c r="L275" i="30" s="1"/>
  <c r="L179" i="30"/>
  <c r="L251" i="30"/>
  <c r="L307" i="30"/>
  <c r="L313" i="30"/>
  <c r="S226" i="30"/>
  <c r="L226" i="30" s="1"/>
  <c r="S218" i="30"/>
  <c r="L218" i="30" s="1"/>
  <c r="L315" i="30"/>
  <c r="S296" i="30"/>
  <c r="L296" i="30" s="1"/>
  <c r="S288" i="30"/>
  <c r="L288" i="30" s="1"/>
  <c r="S264" i="30"/>
  <c r="L264" i="30" s="1"/>
  <c r="S232" i="30"/>
  <c r="L232" i="30" s="1"/>
  <c r="L208" i="30"/>
  <c r="L260" i="30"/>
  <c r="S175" i="30"/>
  <c r="L175" i="30" s="1"/>
  <c r="S294" i="30"/>
  <c r="L294" i="30" s="1"/>
  <c r="S262" i="30"/>
  <c r="L262" i="30" s="1"/>
  <c r="S182" i="30"/>
  <c r="L182" i="30" s="1"/>
  <c r="L193" i="30"/>
  <c r="L195" i="30"/>
  <c r="L241" i="30"/>
  <c r="L278" i="30"/>
  <c r="L224" i="30"/>
  <c r="L236" i="30"/>
  <c r="L243" i="30"/>
  <c r="L280" i="30"/>
  <c r="S301" i="30"/>
  <c r="L301" i="30" s="1"/>
  <c r="S269" i="30"/>
  <c r="L269" i="30" s="1"/>
  <c r="L177" i="30"/>
  <c r="L184" i="30"/>
  <c r="L190" i="30"/>
  <c r="L197" i="30"/>
  <c r="L216" i="30"/>
  <c r="L249" i="30"/>
  <c r="S300" i="30"/>
  <c r="L300" i="30" s="1"/>
  <c r="S284" i="30"/>
  <c r="L284" i="30" s="1"/>
  <c r="S228" i="30"/>
  <c r="L228" i="30" s="1"/>
  <c r="S220" i="30"/>
  <c r="L220" i="30" s="1"/>
  <c r="S212" i="30"/>
  <c r="L212" i="30" s="1"/>
  <c r="S204" i="30"/>
  <c r="L204" i="30" s="1"/>
  <c r="S188" i="30"/>
  <c r="L188" i="30" s="1"/>
  <c r="L210" i="30"/>
  <c r="L230" i="30"/>
  <c r="L282" i="30"/>
  <c r="L298" i="30"/>
  <c r="L305" i="30"/>
  <c r="L214" i="30"/>
  <c r="L253" i="30"/>
  <c r="L266" i="30"/>
  <c r="L302" i="30"/>
  <c r="L311" i="30"/>
  <c r="L201" i="30"/>
  <c r="L234" i="30"/>
  <c r="L247" i="30"/>
  <c r="L273" i="30"/>
  <c r="L286" i="30"/>
  <c r="L309" i="30"/>
  <c r="L290" i="30"/>
  <c r="L186" i="30"/>
  <c r="L199" i="30"/>
  <c r="L206" i="30"/>
  <c r="L245" i="30"/>
  <c r="L257" i="30"/>
  <c r="L271"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fsc</author>
    <author>Richard Burkmar</author>
  </authors>
  <commentList>
    <comment ref="I1" authorId="0" shapeId="0" xr:uid="{00000000-0006-0000-0100-000001000000}">
      <text>
        <r>
          <rPr>
            <sz val="9"/>
            <color indexed="81"/>
            <rFont val="Tahoma"/>
            <family val="2"/>
          </rPr>
          <t>fsc:</t>
        </r>
        <r>
          <rPr>
            <b/>
            <sz val="9"/>
            <color indexed="81"/>
            <rFont val="Tahoma"/>
            <family val="2"/>
          </rPr>
          <t xml:space="preserve">
</t>
        </r>
        <r>
          <rPr>
            <b/>
            <sz val="9"/>
            <color indexed="81"/>
            <rFont val="Tahoma"/>
            <family val="2"/>
          </rPr>
          <t>min, max and step values for control</t>
        </r>
      </text>
    </comment>
    <comment ref="J1" authorId="0" shapeId="0" xr:uid="{00000000-0006-0000-0100-000002000000}">
      <text>
        <r>
          <rPr>
            <b/>
            <sz val="11"/>
            <color theme="1"/>
            <rFont val="Calibri"/>
            <family val="2"/>
            <scheme val="minor"/>
          </rPr>
          <t>fsc:</t>
        </r>
        <r>
          <rPr>
            <sz val="11"/>
            <color theme="0"/>
            <rFont val="Calibri"/>
            <family val="2"/>
            <scheme val="minor"/>
          </rPr>
          <t xml:space="preserve">
</t>
        </r>
        <r>
          <rPr>
            <sz val="11"/>
            <color theme="0"/>
            <rFont val="Calibri"/>
            <family val="2"/>
            <scheme val="minor"/>
          </rPr>
          <t>Can take any value between 1 and 10</t>
        </r>
      </text>
    </comment>
    <comment ref="K1" authorId="1" shapeId="0" xr:uid="{00000000-0006-0000-0100-000003000000}">
      <text>
        <r>
          <rPr>
            <b/>
            <sz val="9"/>
            <color indexed="81"/>
            <rFont val="Tahoma"/>
            <family val="2"/>
          </rPr>
          <t>Latitude is used for ordinal and numeric characters. It replaced the 'Strictness' attribute from versions prior to 1.7.0 which is deprecated. Latitude is not mandatory. If it is missing for ordinal pr numeric characters, a value of zero is assumed. For ordinal characters, a specified value indicates the number of ranks, either side of a specified value (or range), that will score something. For numeric characterss the value indicates an absolute value, either side of a specified range, at which a matching score is zero. Values between these limits and the specified range will score something. See documentation for fuller examples.</t>
        </r>
        <r>
          <rPr>
            <sz val="9"/>
            <color indexed="81"/>
            <rFont val="Tahoma"/>
            <family val="2"/>
          </rPr>
          <t xml:space="preserve">
</t>
        </r>
      </text>
    </comment>
  </commentList>
</comments>
</file>

<file path=xl/sharedStrings.xml><?xml version="1.0" encoding="utf-8"?>
<sst xmlns="http://schemas.openxmlformats.org/spreadsheetml/2006/main" count="5224" uniqueCount="995">
  <si>
    <t>key</t>
  </si>
  <si>
    <t>Character</t>
  </si>
  <si>
    <t>Label</t>
  </si>
  <si>
    <t>Help</t>
  </si>
  <si>
    <t>Status</t>
  </si>
  <si>
    <t>ControlType</t>
  </si>
  <si>
    <t>Weight</t>
  </si>
  <si>
    <t>ValueType</t>
  </si>
  <si>
    <t>Group</t>
  </si>
  <si>
    <t>Taxon</t>
  </si>
  <si>
    <t>CharacterState</t>
  </si>
  <si>
    <t>StateHelp</t>
  </si>
  <si>
    <t>URI</t>
  </si>
  <si>
    <t>Type</t>
  </si>
  <si>
    <t>State</t>
  </si>
  <si>
    <t>Caption</t>
  </si>
  <si>
    <t>Params</t>
  </si>
  <si>
    <t>ImageWidth</t>
  </si>
  <si>
    <t>Priority</t>
  </si>
  <si>
    <t>CharacterStateTranslation</t>
  </si>
  <si>
    <t>Value</t>
  </si>
  <si>
    <t>Date</t>
  </si>
  <si>
    <t>Notes</t>
  </si>
  <si>
    <t>#Releases - keep track of the release history below this line. Most recent releases at the top. The version code in the 'value' column below this line should match that of the current release above it.</t>
  </si>
  <si>
    <t>Key</t>
  </si>
  <si>
    <t>metadata</t>
  </si>
  <si>
    <t>title</t>
  </si>
  <si>
    <t>year</t>
  </si>
  <si>
    <t>authors</t>
  </si>
  <si>
    <t>publisher</t>
  </si>
  <si>
    <t>location</t>
  </si>
  <si>
    <t>contact</t>
  </si>
  <si>
    <t>version</t>
  </si>
  <si>
    <t>#Main metadata about the key (e.g. for citing the key)</t>
  </si>
  <si>
    <t>release</t>
  </si>
  <si>
    <t>history</t>
  </si>
  <si>
    <t>Mandatory</t>
  </si>
  <si>
    <t>no</t>
  </si>
  <si>
    <t>yes</t>
  </si>
  <si>
    <t>multi</t>
  </si>
  <si>
    <t>CB published an initial test version</t>
  </si>
  <si>
    <t>text</t>
  </si>
  <si>
    <t>Modified by RB to illustrate some of the different features of knowledge representation.</t>
  </si>
  <si>
    <t>HelpShort</t>
  </si>
  <si>
    <t>StateHelpShort</t>
  </si>
  <si>
    <t>UseFor</t>
  </si>
  <si>
    <t>TipStyle</t>
  </si>
  <si>
    <t>Latitude</t>
  </si>
  <si>
    <t>image-web</t>
  </si>
  <si>
    <t>StateGroup</t>
  </si>
  <si>
    <t>Modified by RB to complement version 1.7.0 release of Identikit.</t>
  </si>
  <si>
    <t>SmallURI</t>
  </si>
  <si>
    <t>LargeURI</t>
  </si>
  <si>
    <t>1.7.1</t>
  </si>
  <si>
    <t>Minor fix to add new media fields.</t>
  </si>
  <si>
    <t>1.8.0</t>
  </si>
  <si>
    <t>Minor changes.</t>
  </si>
  <si>
    <t>1.9.0</t>
  </si>
  <si>
    <t>absent</t>
  </si>
  <si>
    <t>head</t>
  </si>
  <si>
    <t>#</t>
  </si>
  <si>
    <t>Corvallis, OR</t>
  </si>
  <si>
    <t>Dark</t>
  </si>
  <si>
    <t>Present</t>
  </si>
  <si>
    <t>Absent</t>
  </si>
  <si>
    <t>Length</t>
  </si>
  <si>
    <t>[9-14]</t>
  </si>
  <si>
    <t>[7-11]</t>
  </si>
  <si>
    <t>[5-9]</t>
  </si>
  <si>
    <t>Vertex</t>
  </si>
  <si>
    <t>Corbicula</t>
  </si>
  <si>
    <t>Smooth</t>
  </si>
  <si>
    <t>[9-12]</t>
  </si>
  <si>
    <t>[6-10]</t>
  </si>
  <si>
    <t>Malar</t>
  </si>
  <si>
    <t>Euandrena</t>
  </si>
  <si>
    <t>Micrandrena</t>
  </si>
  <si>
    <t>Cnemidandrena</t>
  </si>
  <si>
    <t>Simandrena</t>
  </si>
  <si>
    <t>Plastandrena</t>
  </si>
  <si>
    <t>T2 apical hair bands</t>
  </si>
  <si>
    <t>Complete or interrupted</t>
  </si>
  <si>
    <t>Texture of integument</t>
  </si>
  <si>
    <t>Absent, or if present, number of pit diameters between pits</t>
  </si>
  <si>
    <t>The flattened structure dorsally on T6: plain, or sculptured?</t>
  </si>
  <si>
    <t>Is there a medial  inpunctate band, or ridge?</t>
  </si>
  <si>
    <t>Central basal portion: shiny or textured?</t>
  </si>
  <si>
    <t>Compare length of 1st flagellar segment to second+third</t>
  </si>
  <si>
    <t>Shape of the prominence visible beneath the clypeus</t>
  </si>
  <si>
    <t>Number of ocellar diameters between lateral ocellus and fovea</t>
  </si>
  <si>
    <t>Incomplete, without anterior fringe of hairs, or complete, anterior hairs present</t>
  </si>
  <si>
    <t>Either dulled by surface texture, or smooth and shiny</t>
  </si>
  <si>
    <t>Pits on center of T2</t>
  </si>
  <si>
    <t>Color of dorsal abdomen</t>
  </si>
  <si>
    <t>Relative length of F1</t>
  </si>
  <si>
    <t>Clypeus appearance</t>
  </si>
  <si>
    <t>Clypeus midline</t>
  </si>
  <si>
    <t>Malar space</t>
  </si>
  <si>
    <t>Fovea distance from ocellus</t>
  </si>
  <si>
    <t>Thorax hair color</t>
  </si>
  <si>
    <t>Propodeal triangle, AKA propodeal enclosure</t>
  </si>
  <si>
    <t>How much of the area is roughly sculptured?</t>
  </si>
  <si>
    <t>Length of r vein</t>
  </si>
  <si>
    <t xml:space="preserve">abdomen </t>
  </si>
  <si>
    <t>thorax</t>
  </si>
  <si>
    <t>Hairs edge-to-edge</t>
  </si>
  <si>
    <t>Hairs no denser on edge than elsewhere</t>
  </si>
  <si>
    <t>Moderate</t>
  </si>
  <si>
    <t>https://photos.smugmug.com/Select-focus-stacked-insects/i-cMdxgNj/0/11c9dd9a/X4/Andrena%20prunorum.IAE%20108774-X4.jpg</t>
  </si>
  <si>
    <t>Identikit key: Select Andrena Examples</t>
  </si>
  <si>
    <t>David Cappaert</t>
  </si>
  <si>
    <t>html-local</t>
  </si>
  <si>
    <t>Draft - DiscoverLife Expt</t>
  </si>
  <si>
    <t>numeric</t>
  </si>
  <si>
    <t>spin</t>
  </si>
  <si>
    <t>6,16,1</t>
  </si>
  <si>
    <t>Scrapteropsis</t>
  </si>
  <si>
    <t>Trachandrena</t>
  </si>
  <si>
    <t>Andrena</t>
  </si>
  <si>
    <t>Callandrena</t>
  </si>
  <si>
    <t>Dactylandrena</t>
  </si>
  <si>
    <t>Dasyandrena</t>
  </si>
  <si>
    <t>Diandrena</t>
  </si>
  <si>
    <t>Geissandrena</t>
  </si>
  <si>
    <t>Gonandrena</t>
  </si>
  <si>
    <t>Holandrena</t>
  </si>
  <si>
    <t>Larandrena</t>
  </si>
  <si>
    <t>Leucandrena</t>
  </si>
  <si>
    <t>Onagrandrena</t>
  </si>
  <si>
    <t>Parandrena</t>
  </si>
  <si>
    <t>Ptilandrena</t>
  </si>
  <si>
    <t>Rhacandrena</t>
  </si>
  <si>
    <t>Scaphandrena</t>
  </si>
  <si>
    <t>Thysandrena</t>
  </si>
  <si>
    <t>Tylandrena</t>
  </si>
  <si>
    <t>T2_pits</t>
  </si>
  <si>
    <t>T2_bands</t>
  </si>
  <si>
    <t>Abd_integument</t>
  </si>
  <si>
    <t>Pyg_plate</t>
  </si>
  <si>
    <t>Flag1_length</t>
  </si>
  <si>
    <t>Clypeus_shape</t>
  </si>
  <si>
    <t>Clypeus_texture</t>
  </si>
  <si>
    <t>Clypeus_midline</t>
  </si>
  <si>
    <t>Fovea_color</t>
  </si>
  <si>
    <t>Fovea_depth</t>
  </si>
  <si>
    <t>Fovea_length</t>
  </si>
  <si>
    <t>Fovea_width</t>
  </si>
  <si>
    <t>Head_dimensions</t>
  </si>
  <si>
    <t>Galea_shape</t>
  </si>
  <si>
    <t>Labral_length</t>
  </si>
  <si>
    <t>Labral_margin</t>
  </si>
  <si>
    <t>Mandible_apex</t>
  </si>
  <si>
    <t>Mandible_lamella</t>
  </si>
  <si>
    <t>Maxpalp_length</t>
  </si>
  <si>
    <t>Midbasitarsus_width</t>
  </si>
  <si>
    <t>Femur_shape</t>
  </si>
  <si>
    <t>Spurs</t>
  </si>
  <si>
    <t>Tibia_shape</t>
  </si>
  <si>
    <t>Scopa_color</t>
  </si>
  <si>
    <t>Scopa_hairs</t>
  </si>
  <si>
    <t>Flocculus</t>
  </si>
  <si>
    <t>Pronotal_angle</t>
  </si>
  <si>
    <t>Thorax_hair</t>
  </si>
  <si>
    <t>Thorax_integument</t>
  </si>
  <si>
    <t>Pronotal_ridge</t>
  </si>
  <si>
    <t>Triangle_sculpture</t>
  </si>
  <si>
    <t>Triangle_outside</t>
  </si>
  <si>
    <t>Scutum_pits</t>
  </si>
  <si>
    <t>Scutum_texture</t>
  </si>
  <si>
    <t>SMC</t>
  </si>
  <si>
    <t>R</t>
  </si>
  <si>
    <t>T2_texture</t>
  </si>
  <si>
    <t>broad|narrow|complete</t>
  </si>
  <si>
    <t>granular</t>
  </si>
  <si>
    <t>dark|faint</t>
  </si>
  <si>
    <t>present|absent</t>
  </si>
  <si>
    <t>T2-4_hair</t>
  </si>
  <si>
    <t>pale</t>
  </si>
  <si>
    <t>long|longer</t>
  </si>
  <si>
    <t>normal</t>
  </si>
  <si>
    <t>dull|shinydull</t>
  </si>
  <si>
    <t>absent|present</t>
  </si>
  <si>
    <t>pale|darkpale</t>
  </si>
  <si>
    <t>moderate|shallow</t>
  </si>
  <si>
    <t>moderate|long|xlong</t>
  </si>
  <si>
    <t>Fovea_distance</t>
  </si>
  <si>
    <t>more|less|equal</t>
  </si>
  <si>
    <t>narrow|moderate|broad</t>
  </si>
  <si>
    <t>quadrate|long</t>
  </si>
  <si>
    <t>long|moderate</t>
  </si>
  <si>
    <t>entire|weak|pointed</t>
  </si>
  <si>
    <t>xshort|short|moderate</t>
  </si>
  <si>
    <t>bidentate</t>
  </si>
  <si>
    <t>present|present_broad</t>
  </si>
  <si>
    <t>2xgalea</t>
  </si>
  <si>
    <t>less|equal|more</t>
  </si>
  <si>
    <t>normal|broad|cuneate</t>
  </si>
  <si>
    <t>simple</t>
  </si>
  <si>
    <t>complete</t>
  </si>
  <si>
    <t>absent|weak</t>
  </si>
  <si>
    <t>incomplete</t>
  </si>
  <si>
    <t>Triangle_ridge</t>
  </si>
  <si>
    <t>0|5-50|50-80</t>
  </si>
  <si>
    <t>dull|fine|areolate</t>
  </si>
  <si>
    <t>absent|1-3|3+</t>
  </si>
  <si>
    <t>dull|somewhat</t>
  </si>
  <si>
    <t>none</t>
  </si>
  <si>
    <t>short</t>
  </si>
  <si>
    <t>dark</t>
  </si>
  <si>
    <t>dull</t>
  </si>
  <si>
    <t>pale|darkpale|dark</t>
  </si>
  <si>
    <t>shallow</t>
  </si>
  <si>
    <t>long|xlong</t>
  </si>
  <si>
    <t>less|equal</t>
  </si>
  <si>
    <t>broad|moderate</t>
  </si>
  <si>
    <t>quadrate|broad</t>
  </si>
  <si>
    <t>entire|weak</t>
  </si>
  <si>
    <t>xshort|short</t>
  </si>
  <si>
    <t>present</t>
  </si>
  <si>
    <t>2xgalea|1xgalea</t>
  </si>
  <si>
    <t>equal|more</t>
  </si>
  <si>
    <t>cuneate</t>
  </si>
  <si>
    <t>simple|weak|plumose</t>
  </si>
  <si>
    <t>pale|orange</t>
  </si>
  <si>
    <t>absent|1-3</t>
  </si>
  <si>
    <t>long</t>
  </si>
  <si>
    <t>broad|narrow|absent</t>
  </si>
  <si>
    <t>granular|smooth</t>
  </si>
  <si>
    <t>dense|1-3|3+</t>
  </si>
  <si>
    <t>dark|faint|red</t>
  </si>
  <si>
    <t>pale|dark|mixed</t>
  </si>
  <si>
    <t>[8-13]</t>
  </si>
  <si>
    <t>normal|flat</t>
  </si>
  <si>
    <t>dull|shinydull|shiny</t>
  </si>
  <si>
    <t>shallow|moderate|deep</t>
  </si>
  <si>
    <t>moderate|narrow</t>
  </si>
  <si>
    <t>quadrate|broad|long</t>
  </si>
  <si>
    <t>short|xshort</t>
  </si>
  <si>
    <t>2xgalea|3xgalea</t>
  </si>
  <si>
    <t>equal|more|less||much</t>
  </si>
  <si>
    <t>normal|cuneate</t>
  </si>
  <si>
    <t>50-80|100</t>
  </si>
  <si>
    <t>coarse|areolate</t>
  </si>
  <si>
    <t>less|1-3</t>
  </si>
  <si>
    <t>dull|shiny|somewhat</t>
  </si>
  <si>
    <t>long|short</t>
  </si>
  <si>
    <t>absent|narrow|complete</t>
  </si>
  <si>
    <t>dense</t>
  </si>
  <si>
    <t>[9-15]</t>
  </si>
  <si>
    <t>normal|bulging</t>
  </si>
  <si>
    <t>quadrate</t>
  </si>
  <si>
    <t>short|xshort|moderate</t>
  </si>
  <si>
    <t>normal|ridged</t>
  </si>
  <si>
    <t>broad</t>
  </si>
  <si>
    <t>normal|narrow</t>
  </si>
  <si>
    <t>simple|weak</t>
  </si>
  <si>
    <t>absent|broad</t>
  </si>
  <si>
    <t>absent|dense|3+</t>
  </si>
  <si>
    <t>long|xlong|moderate</t>
  </si>
  <si>
    <t>equal|less</t>
  </si>
  <si>
    <t>long|moderate|short</t>
  </si>
  <si>
    <t>entire|emarginate|bidentate</t>
  </si>
  <si>
    <t>present|tooth</t>
  </si>
  <si>
    <t>2xgalea|3xgalea|1xgalea</t>
  </si>
  <si>
    <t>normal|cuneate|narrow</t>
  </si>
  <si>
    <t>complete|incomplete</t>
  </si>
  <si>
    <t>less|1-3|3+</t>
  </si>
  <si>
    <t>absent|narrow|complete|broad</t>
  </si>
  <si>
    <t>dense|1-3|absent</t>
  </si>
  <si>
    <t>shiny|dull|shinydull</t>
  </si>
  <si>
    <t>deep|moderate</t>
  </si>
  <si>
    <t>short|moderate|long</t>
  </si>
  <si>
    <t>broad|moderate|narrow</t>
  </si>
  <si>
    <t>short|xshort|moderate|long</t>
  </si>
  <si>
    <t>normal|expanded</t>
  </si>
  <si>
    <t>plumose</t>
  </si>
  <si>
    <t>0|5-50</t>
  </si>
  <si>
    <t>less|absent|1-3</t>
  </si>
  <si>
    <t>equal|long|longer</t>
  </si>
  <si>
    <t>shiny|shinydull</t>
  </si>
  <si>
    <t>moderate|shallow|deep</t>
  </si>
  <si>
    <t>weak|emarginate</t>
  </si>
  <si>
    <t>equa|1xgalea|2xgalea</t>
  </si>
  <si>
    <t>expanded</t>
  </si>
  <si>
    <t>present|weak</t>
  </si>
  <si>
    <t>dull|fine|coarse</t>
  </si>
  <si>
    <t>2|3</t>
  </si>
  <si>
    <t>smooth</t>
  </si>
  <si>
    <t>flat|normal</t>
  </si>
  <si>
    <t>shinydull|shiny</t>
  </si>
  <si>
    <t>moderate</t>
  </si>
  <si>
    <t>moderate|long</t>
  </si>
  <si>
    <t>weak|emarginate|entire|bidentate</t>
  </si>
  <si>
    <t>present|weak|absent</t>
  </si>
  <si>
    <t>incomplete|absent</t>
  </si>
  <si>
    <t>dull|shiny</t>
  </si>
  <si>
    <t>narrow|broad|complete</t>
  </si>
  <si>
    <t>shinydull</t>
  </si>
  <si>
    <t>shallow|moderate</t>
  </si>
  <si>
    <t>less</t>
  </si>
  <si>
    <t>bidentate|tridentate</t>
  </si>
  <si>
    <t>weak|absent</t>
  </si>
  <si>
    <t>incomplete|complete</t>
  </si>
  <si>
    <t>dull|coarse</t>
  </si>
  <si>
    <t>complete|narrow|absent|broad</t>
  </si>
  <si>
    <t>metallic</t>
  </si>
  <si>
    <t>pale|mixed</t>
  </si>
  <si>
    <t>[9-13]</t>
  </si>
  <si>
    <t>more</t>
  </si>
  <si>
    <t>emarginate|bidentate</t>
  </si>
  <si>
    <t>3xgalea</t>
  </si>
  <si>
    <t>metallic|faint</t>
  </si>
  <si>
    <t>0|0-50</t>
  </si>
  <si>
    <t>dark|metallic|faint</t>
  </si>
  <si>
    <t>[7-14]</t>
  </si>
  <si>
    <t>flat|normal|bulging</t>
  </si>
  <si>
    <t>normal|spear</t>
  </si>
  <si>
    <t>entire|emarginate|bidentate|weak</t>
  </si>
  <si>
    <t>xshort|short|moderate|long</t>
  </si>
  <si>
    <t>present|present_broad|none</t>
  </si>
  <si>
    <t>equal|less|more</t>
  </si>
  <si>
    <t>simple|plumose</t>
  </si>
  <si>
    <t>metallic|faint|dark</t>
  </si>
  <si>
    <t>coarse|dull</t>
  </si>
  <si>
    <t>less|1-3|absent</t>
  </si>
  <si>
    <t>narrow|broad</t>
  </si>
  <si>
    <t>1-3</t>
  </si>
  <si>
    <t>longer</t>
  </si>
  <si>
    <t>equal</t>
  </si>
  <si>
    <t>moderate|broad</t>
  </si>
  <si>
    <t>emarginate</t>
  </si>
  <si>
    <t>simple|plumose|weak</t>
  </si>
  <si>
    <t>50-80</t>
  </si>
  <si>
    <t>coarse</t>
  </si>
  <si>
    <t>short|moderate</t>
  </si>
  <si>
    <t>xshort</t>
  </si>
  <si>
    <t>weak</t>
  </si>
  <si>
    <t>5-50|50-80</t>
  </si>
  <si>
    <t>Entirely dark fovea</t>
  </si>
  <si>
    <t>Bell or strap-shaped labral</t>
  </si>
  <si>
    <t>tibia</t>
  </si>
  <si>
    <t>pointed labral</t>
  </si>
  <si>
    <t>xshort malar</t>
  </si>
  <si>
    <t>2 SMC</t>
  </si>
  <si>
    <t>entire</t>
  </si>
  <si>
    <t>5-50</t>
  </si>
  <si>
    <t>broad|narrow</t>
  </si>
  <si>
    <t>xlong|long</t>
  </si>
  <si>
    <t>normal|curved</t>
  </si>
  <si>
    <t>dark|red</t>
  </si>
  <si>
    <t>xlong</t>
  </si>
  <si>
    <t>present_broad</t>
  </si>
  <si>
    <t>dull|fine</t>
  </si>
  <si>
    <t>[8-12]</t>
  </si>
  <si>
    <t>complete|narrow|broad</t>
  </si>
  <si>
    <t>short|2xgalea</t>
  </si>
  <si>
    <t>a</t>
  </si>
  <si>
    <t>100|50-80</t>
  </si>
  <si>
    <t>dense|1-3|3+|absent</t>
  </si>
  <si>
    <t>pale|dark</t>
  </si>
  <si>
    <t>[7-13]</t>
  </si>
  <si>
    <t>normal|bulging|flat</t>
  </si>
  <si>
    <t>xlong|moderate</t>
  </si>
  <si>
    <t>long|quadrate|broad</t>
  </si>
  <si>
    <t>entire|emarginate|weak</t>
  </si>
  <si>
    <t>narrow|broad|absent</t>
  </si>
  <si>
    <t>xlong|long|moderate</t>
  </si>
  <si>
    <t>equal|more|less</t>
  </si>
  <si>
    <t>xshort|short|long|moderate</t>
  </si>
  <si>
    <t>[7-12]</t>
  </si>
  <si>
    <t>absent|dense|1-3</t>
  </si>
  <si>
    <t>[9-16]</t>
  </si>
  <si>
    <t>present|absent|weak</t>
  </si>
  <si>
    <t>dark|faint|metallic</t>
  </si>
  <si>
    <t>Pygidial plate modification</t>
  </si>
  <si>
    <t>Apical hair color</t>
  </si>
  <si>
    <t>Fovea color</t>
  </si>
  <si>
    <t>Fovea depth</t>
  </si>
  <si>
    <t>Fovea length</t>
  </si>
  <si>
    <t>Fovea width</t>
  </si>
  <si>
    <t>Head dimensions</t>
  </si>
  <si>
    <t>Galea shape</t>
  </si>
  <si>
    <t>Labral process margin</t>
  </si>
  <si>
    <t>Teeth on mandible apex</t>
  </si>
  <si>
    <t>Lamella on base of mandible</t>
  </si>
  <si>
    <t>Maxilary palp length</t>
  </si>
  <si>
    <t>Vertex height</t>
  </si>
  <si>
    <t>legs</t>
  </si>
  <si>
    <t>wing</t>
  </si>
  <si>
    <t>Midbasitarsus</t>
  </si>
  <si>
    <t>Modification to hind femur</t>
  </si>
  <si>
    <t>Shape of hind tibia</t>
  </si>
  <si>
    <t>Color of scopal hairs</t>
  </si>
  <si>
    <t>Scopal hair formation</t>
  </si>
  <si>
    <t>Trochanteral flocculus</t>
  </si>
  <si>
    <t>Humeral angle</t>
  </si>
  <si>
    <t>Thorax integument</t>
  </si>
  <si>
    <t>Pronotal ridge</t>
  </si>
  <si>
    <t>Ridge bordering propodeal triangle</t>
  </si>
  <si>
    <t>Texture outside triangle</t>
  </si>
  <si>
    <t>Pitting on scutum</t>
  </si>
  <si>
    <t>Scutum texture</t>
  </si>
  <si>
    <t>Submarginal cell number</t>
  </si>
  <si>
    <t>Clypeus shape</t>
  </si>
  <si>
    <t>narrow</t>
  </si>
  <si>
    <t>Narrowly interrupted</t>
  </si>
  <si>
    <t>3+</t>
  </si>
  <si>
    <t>faint</t>
  </si>
  <si>
    <t>red</t>
  </si>
  <si>
    <t>mixed</t>
  </si>
  <si>
    <t>F1 longer than F2</t>
  </si>
  <si>
    <t>F1 longer than F2+3</t>
  </si>
  <si>
    <t>flat</t>
  </si>
  <si>
    <t>bulging</t>
  </si>
  <si>
    <t>shiny</t>
  </si>
  <si>
    <t>darkpale</t>
  </si>
  <si>
    <t>deep</t>
  </si>
  <si>
    <t>spear</t>
  </si>
  <si>
    <t>pointed</t>
  </si>
  <si>
    <t>tridentate</t>
  </si>
  <si>
    <t>tooth</t>
  </si>
  <si>
    <t>2x galea</t>
  </si>
  <si>
    <t>3x galea</t>
  </si>
  <si>
    <t>much</t>
  </si>
  <si>
    <t>ridged</t>
  </si>
  <si>
    <t>curved</t>
  </si>
  <si>
    <t>dark|pale|mixed</t>
  </si>
  <si>
    <t>pale|mixed|dark</t>
  </si>
  <si>
    <t>fine</t>
  </si>
  <si>
    <t>areolate</t>
  </si>
  <si>
    <t>somewhat</t>
  </si>
  <si>
    <t>dark|darkpale</t>
  </si>
  <si>
    <t>Labral process length</t>
  </si>
  <si>
    <t>pointed|entire|emarginate|weak|bidentate</t>
  </si>
  <si>
    <t>Compared to galea</t>
  </si>
  <si>
    <t>Distance from lateral ocellus to back of head</t>
  </si>
  <si>
    <t>Compare to hind basitarsus</t>
  </si>
  <si>
    <t>Hind tibial spurs</t>
  </si>
  <si>
    <t>Color of hairs, between scutum and bottom of mesepisternum</t>
  </si>
  <si>
    <t>Broadly interrupted</t>
  </si>
  <si>
    <t>Granular, fine lines that dull the surface</t>
  </si>
  <si>
    <t>Smooth and shiny</t>
  </si>
  <si>
    <t>Lacking distinct pits</t>
  </si>
  <si>
    <t>Pits dense, less than one pit width apart</t>
  </si>
  <si>
    <t>Pits 1-3 pit diameters apart</t>
  </si>
  <si>
    <t>Pits &gt;3 diameters widths apart</t>
  </si>
  <si>
    <t>Dark brown or black</t>
  </si>
  <si>
    <t>Faintly metallic</t>
  </si>
  <si>
    <t>Metallic, green or blue cast</t>
  </si>
  <si>
    <t>Red</t>
  </si>
  <si>
    <t>Scultpured, raised, usually trianglular prominence</t>
  </si>
  <si>
    <t>Not sculptured</t>
  </si>
  <si>
    <t>Pale</t>
  </si>
  <si>
    <t>Mixed pale and dark</t>
  </si>
  <si>
    <t>Normal</t>
  </si>
  <si>
    <t>Flat</t>
  </si>
  <si>
    <t>Bulging</t>
  </si>
  <si>
    <t>Dull from edge to edge</t>
  </si>
  <si>
    <t>Shiny medially, dull towards lateral and dorsal margin</t>
  </si>
  <si>
    <t>Entirely shiny</t>
  </si>
  <si>
    <t>Entirely pale</t>
  </si>
  <si>
    <t>Dark above, pale below</t>
  </si>
  <si>
    <t>Shallow</t>
  </si>
  <si>
    <t>Deep</t>
  </si>
  <si>
    <t>About 1 ocellar diameter</t>
  </si>
  <si>
    <t>More than 1 ocellar diameter</t>
  </si>
  <si>
    <t>Less than 1 ocellar diameter</t>
  </si>
  <si>
    <t>Quadrate</t>
  </si>
  <si>
    <t>Broader than long</t>
  </si>
  <si>
    <t>Longer than broad</t>
  </si>
  <si>
    <t>Roughly 2 times galea length</t>
  </si>
  <si>
    <t>Roughly 3 times galea length</t>
  </si>
  <si>
    <t>Equal to, or less than galea length</t>
  </si>
  <si>
    <t>More than 1.5 ocellar diameter</t>
  </si>
  <si>
    <t>Expanded - broader than hind basitarsus</t>
  </si>
  <si>
    <t>With 1 or 2 ridges along length of femur</t>
  </si>
  <si>
    <t>Normal, straight or gently curved</t>
  </si>
  <si>
    <t>Bent, and distinctly widened basally</t>
  </si>
  <si>
    <t>Curved, but not broadened basally</t>
  </si>
  <si>
    <t>Normal, no more than 1.5 times broader at apex than midpoint</t>
  </si>
  <si>
    <t>Cuneate, &gt;1.5 times broader at apex than midpoint</t>
  </si>
  <si>
    <t>Narrow, nearly parallel sided</t>
  </si>
  <si>
    <t>Weakly branched</t>
  </si>
  <si>
    <t>Plumose, feathery</t>
  </si>
  <si>
    <t>Complete: long, curled hairs on hind trochanter</t>
  </si>
  <si>
    <t>Complete: with anterior fringe of hairs, and bare interior</t>
  </si>
  <si>
    <t>Incomplete: anterior fringe absent, internal hairs</t>
  </si>
  <si>
    <t>Distinct carina defines pronotal triangle</t>
  </si>
  <si>
    <t>5-50% of triangle sculptured</t>
  </si>
  <si>
    <t>50-80% of triangle sculptured</t>
  </si>
  <si>
    <t>Triangle completely sculptured</t>
  </si>
  <si>
    <t>Triangle  unsculptured</t>
  </si>
  <si>
    <t>Coarse irregular sculpturing on propodeum outside triangle</t>
  </si>
  <si>
    <t>Sculpturing finer, dulled by tesselation or shagreening</t>
  </si>
  <si>
    <t>Sculpturing fine, surface shiny</t>
  </si>
  <si>
    <t>Sculpturing areolate</t>
  </si>
  <si>
    <t>Pits absent on scutum between parapsidal lines</t>
  </si>
  <si>
    <t>Pits present, dense, spacing less than 1 pit diameter</t>
  </si>
  <si>
    <t>Pits present, spacing  1-3 pit diameters</t>
  </si>
  <si>
    <t>Pits present, sparse, spacing  &gt;3 pit diameters</t>
  </si>
  <si>
    <t>Surface dull throughout</t>
  </si>
  <si>
    <t>Surface shiny</t>
  </si>
  <si>
    <t>Surface mostly dull, somewhat shiney posteromedially</t>
  </si>
  <si>
    <t>2 submarginal cells</t>
  </si>
  <si>
    <t>3 submarginal cells</t>
  </si>
  <si>
    <t>r vein long - &gt;4 times width</t>
  </si>
  <si>
    <t>r vein short - &lt;4 times width</t>
  </si>
  <si>
    <t>Anchandrena</t>
  </si>
  <si>
    <t>Cremandrena</t>
  </si>
  <si>
    <t>Derandrena</t>
  </si>
  <si>
    <t>Genyandrena</t>
  </si>
  <si>
    <t>Melandrena</t>
  </si>
  <si>
    <t>Nemandrena</t>
  </si>
  <si>
    <t>Pelicandrena</t>
  </si>
  <si>
    <t>Psammandrena</t>
  </si>
  <si>
    <t>Raphandrena</t>
  </si>
  <si>
    <t>Scoliandrena</t>
  </si>
  <si>
    <t>Taeniandrena</t>
  </si>
  <si>
    <t>Xiphandrena</t>
  </si>
  <si>
    <t>[9-17]</t>
  </si>
  <si>
    <t>equal|more|muchmore</t>
  </si>
  <si>
    <t># Taxon plastrandena</t>
  </si>
  <si>
    <t>https://photos.smugmug.com/Discover-Life-Uploads/Andsrena-PNW-traits/i-8phLFSC/1/296837ce/4K/Andrena%2Clegs%2Chind%20femur%20ridge%2Ccrataegi-2-4K.jpg</t>
  </si>
  <si>
    <t>Unique hind femur of A. crataegi</t>
  </si>
  <si>
    <t>https://photos.smugmug.com/Discover-Life-Uploads/Andsrena-PNW-traits/i-HTzhd6f/1/bedcb728/X5/Andrena%2Clegs%2Cspur%2Cprunorum-X5.jpg</t>
  </si>
  <si>
    <t>Wide base, bent tibial spur of A. prunorum</t>
  </si>
  <si>
    <t>https://photos.smugmug.com/Discover-Life-Uploads/Andrena-PNW-specimens/i-MgxDhGW/2/9fa6faf3/X5/Andrena%20prunorum%2Cfemale%2Clateral%20Glacial-X5.jpg</t>
  </si>
  <si>
    <t>resources/text/plastandrena.html</t>
  </si>
  <si>
    <t>dense|1-3</t>
  </si>
  <si>
    <t>mixed|dark|orange</t>
  </si>
  <si>
    <t>pale|mixed|orange|mixed</t>
  </si>
  <si>
    <t>pale|mixed|orange</t>
  </si>
  <si>
    <t>mixed|dark|orange|pale</t>
  </si>
  <si>
    <t>VERSION: As of May 16, strictly from DL</t>
  </si>
  <si>
    <t>entire|emarginate</t>
  </si>
  <si>
    <t>Updating with primary lit</t>
  </si>
  <si>
    <t>resources/text/andrena.html</t>
  </si>
  <si>
    <t># Taxon andrena</t>
  </si>
  <si>
    <t>resources/text/callandrena.html</t>
  </si>
  <si>
    <t>resources/text/dactylandrena.html</t>
  </si>
  <si>
    <t># Taxon callandrena</t>
  </si>
  <si>
    <t># Taxon dactylandrena</t>
  </si>
  <si>
    <t># Taxon diandrena</t>
  </si>
  <si>
    <t>resources/text/diandrena.html</t>
  </si>
  <si>
    <t># Taxon micrandrena</t>
  </si>
  <si>
    <t>resources/text/micrandrena.html</t>
  </si>
  <si>
    <t># Taxon parandrena</t>
  </si>
  <si>
    <t>resources/text/parandrena.html</t>
  </si>
  <si>
    <t>[8-10]</t>
  </si>
  <si>
    <t>resources/text/cremandrena.html</t>
  </si>
  <si>
    <t>resources/text/dasyandrena.html</t>
  </si>
  <si>
    <t>resources/text/euandrena.html</t>
  </si>
  <si>
    <t>resources/text/geissandrena.html</t>
  </si>
  <si>
    <t>resources/text/holandrena.html</t>
  </si>
  <si>
    <t>fd</t>
  </si>
  <si>
    <t># Taxon  cremandrena</t>
  </si>
  <si>
    <t># Taxon  ptilandrena</t>
  </si>
  <si>
    <t># Taxon  rhacandrena</t>
  </si>
  <si>
    <t># Taxon  tylandrena</t>
  </si>
  <si>
    <t># Taxon  thysandrena</t>
  </si>
  <si>
    <t># Taxon  simandrena</t>
  </si>
  <si>
    <t># Taxon  scaphandrena</t>
  </si>
  <si>
    <t># Taxon  larandrena</t>
  </si>
  <si>
    <t># Taxon  leucandrena</t>
  </si>
  <si>
    <t># Taxon  melandrena</t>
  </si>
  <si>
    <t>resources/text/cnemidandrena.html</t>
  </si>
  <si>
    <t># Taxon  cnemidandrena</t>
  </si>
  <si>
    <t># Taxon dasyandrena</t>
  </si>
  <si>
    <t># Taxon geissandrena</t>
  </si>
  <si>
    <t># Taxon holandrena</t>
  </si>
  <si>
    <t># Taxon euandrena</t>
  </si>
  <si>
    <t>resources/text/ptilandrena.html</t>
  </si>
  <si>
    <t>resources/text/rhacandrena.html</t>
  </si>
  <si>
    <t>resources/text/tylandrena.html</t>
  </si>
  <si>
    <t>resources/text/thysandrena.html</t>
  </si>
  <si>
    <t>resources/text/simandrena.html</t>
  </si>
  <si>
    <t>resources/text/scaphandrena.html</t>
  </si>
  <si>
    <t>resources/text/larandrena.html</t>
  </si>
  <si>
    <t>resources/text/leucandrena.html</t>
  </si>
  <si>
    <t>resources/text/melandrena.html</t>
  </si>
  <si>
    <t>https://photos.smugmug.com/Discover-Life-Uploads/Andrena-PNW-specimens/i-FbLkGdT/5/ae9f5e0e/X4/Andrena%20birtwelli%2Cfemale%2Chead%2COSAC_0001237952psd-X4.jpg</t>
  </si>
  <si>
    <t>https://photos.smugmug.com/Discover-Life-Uploads/Andrena-PNW-specimens/i-nfzrSQR/5/c4135b96/X5/Andrena%20birtwelli%2Cfemale%2Clateral%2COSAC_0001237952psd-X5.jpg</t>
  </si>
  <si>
    <t>https://www.yorku.ca/bugsrus/resources/galleries/img_boc/Andrena%20aculeata%20F.jpg</t>
  </si>
  <si>
    <t>https://www.yorku.ca/bugsrus/resources/galleries/img_boc/Andrena%20buckelli%20F.jpg</t>
  </si>
  <si>
    <t>A. birtwelli. Oregon State Arthropod Collection. Photo D. Cappaert</t>
  </si>
  <si>
    <t>A. prunorum. Quamash EcoResearch. Photo D. Cappaert</t>
  </si>
  <si>
    <t>A. prunorum male. Quamash EcoResearch. Photo D. Cappaert</t>
  </si>
  <si>
    <t>https://www.yorku.ca/bugsrus/resources/galleries/img_boc/Andrena%20edwardsii%20F.jpg</t>
  </si>
  <si>
    <t>https://www.yorku.ca/bugsrus/resources/galleries/img_boc/Andrena%20laminibucca%20F.jpg</t>
  </si>
  <si>
    <t>https://www.yorku.ca/bugsrus/resources/galleries/img_boc/Andrena%20rufosignata%20F.jpg</t>
  </si>
  <si>
    <t>https://www.yorku.ca/bugsrus/resources/galleries/img_boc/Andrena%20accepta%20F.jpg</t>
  </si>
  <si>
    <t>https://www.yorku.ca/bugsrus/resources/galleries/img_boc/Andrena%20helianthi%20F.jpg</t>
  </si>
  <si>
    <t>https://photos.smugmug.com/Discover-Life-Uploads/Andrena-PNW-specimens/i-48KMJLn/5/9c456749/X5/Andrena%20anisochlora%2Cfemale%2Cdorsal%2COSAC_0001237881-X5.jpg</t>
  </si>
  <si>
    <t>https://photos.smugmug.com/Discover-Life-Uploads/Andrena-PNW-specimens/i-BKHZf87/5/8629e20e/X5/Andrena%20anisochlora%2Cfemale%2Clateral%2COSAC_0001237881-X5.jpg</t>
  </si>
  <si>
    <t>https://photos.smugmug.com/Discover-Life-Uploads/Andrena-PNW-specimens/i-rDkGtgV/5/2c179637/X5/AndrenaAnis-X5.jpg</t>
  </si>
  <si>
    <t>A. anisochlora. Oregon State Arthropod Collection. Photo D. Cappaert</t>
  </si>
  <si>
    <t>A. anisochlora. Institute for Applied Ecology. Photo D. Cappaert</t>
  </si>
  <si>
    <t>https://www.yorku.ca/bugsrus/resources/galleries/img_boc/Andrena%20porterae%20F.jpg</t>
  </si>
  <si>
    <t>A. aculeata. Image courtesy of Margarita Miklasevskaja at PCYU with funding from NSERC-CANPOLIN.</t>
  </si>
  <si>
    <t>A. buckelli. Image courtesy of Margarita Miklasevskaja at PCYU with funding from NSERC-CANPOLIN.</t>
  </si>
  <si>
    <t>A. edwardsii. Image courtesy of Margarita Miklasevskaja at PCYU with funding from NSERC-CANPOLIN.</t>
  </si>
  <si>
    <t>A. laminibucca. Image courtesy of Margarita Miklasevskaja at PCYU with funding from NSERC-CANPOLIN.</t>
  </si>
  <si>
    <t>A. rufosignata. Image courtesy of Margarita Miklasevskaja at PCYU with funding from NSERC-CANPOLIN.</t>
  </si>
  <si>
    <t>A. acepta. Image courtesy of Margarita Miklasevskaja at PCYU with funding from NSERC-CANPOLIN.</t>
  </si>
  <si>
    <t>A. helanthi. Image courtesy of Margarita Miklasevskaja at PCYU with funding from NSERC-CANPOLIN.</t>
  </si>
  <si>
    <t>A. porterae. Image courtesy of Margarita Miklasevskaja at PCYU with funding from NSERC-CANPOLIN.</t>
  </si>
  <si>
    <t>https://photos.smugmug.com/Discover-Life-Uploads/Andrena-PNW-specimens/i-2xkF595/4/7e50d010/X5/Andrena%20rufosignata%2Cfemale%2Clateral%2CSW20200506%2332-X5.jpg</t>
  </si>
  <si>
    <t>A. rufosignata. Quamash EcoResearch. Photo D. Cappaert</t>
  </si>
  <si>
    <t>https://photos.smugmug.com/Discover-Life-Uploads/Andrena-PNW-specimens/i-BrHmmJL/4/ad5434b6/X4/Andrena%20rufosignata%2Cfemale%2Chead%2CSW20200506%2332-X4.jpg</t>
  </si>
  <si>
    <t># Taxon  trachandrena</t>
  </si>
  <si>
    <t>resources/text/trachandrena.html</t>
  </si>
  <si>
    <t xml:space="preserve">See images. </t>
  </si>
  <si>
    <t>Typically 3; if 2, this is a valuabvle character</t>
  </si>
  <si>
    <t>Dark, metallic (green or blue), or subtly metallic</t>
  </si>
  <si>
    <t xml:space="preserve">Decide after playing with angle of view and lighting </t>
  </si>
  <si>
    <t>Tricky; deep fovea are easiest to identify</t>
  </si>
  <si>
    <t>Reaching below top margin of clypeus</t>
  </si>
  <si>
    <t>Tricky; usuall "normal"</t>
  </si>
  <si>
    <t>In reference to antennal socket</t>
  </si>
  <si>
    <t>Reaching above upper margin</t>
  </si>
  <si>
    <t>Reaching about the middle</t>
  </si>
  <si>
    <t>Reaching below lower margin</t>
  </si>
  <si>
    <t>Moderate, about socket width</t>
  </si>
  <si>
    <t>Narrower than socket width</t>
  </si>
  <si>
    <t>Broader than socket width</t>
  </si>
  <si>
    <t>Vertical: bottom of clypeus to median ocellus. Horizontal: between eye margins at level of antennal sockets</t>
  </si>
  <si>
    <t>Normal - most</t>
  </si>
  <si>
    <t>Spear shaped - Euandrena</t>
  </si>
  <si>
    <t>Compare to labrum length</t>
  </si>
  <si>
    <t>one third  to one half labrum length</t>
  </si>
  <si>
    <t>&gt; half labrum length</t>
  </si>
  <si>
    <t>&lt; one third labrum length</t>
  </si>
  <si>
    <t>Only tridentate for  Daysandrena and Euandrena</t>
  </si>
  <si>
    <t>Specific to Plastandrena</t>
  </si>
  <si>
    <t>Hairs simple, unbranched</t>
  </si>
  <si>
    <t>At center of outside face of scopa</t>
  </si>
  <si>
    <t>Incomplete: hairs mostly straight</t>
  </si>
  <si>
    <t>Present: Distinctly angled</t>
  </si>
  <si>
    <t>Weak: Neither distinctly angled nor smooth and continuous</t>
  </si>
  <si>
    <t>Absent: Smooth and continuous</t>
  </si>
  <si>
    <t>Posterior margin of pronotum</t>
  </si>
  <si>
    <t>With faint crease or ridge</t>
  </si>
  <si>
    <t>With distinct crease or ridge</t>
  </si>
  <si>
    <t>Pronotal collar, viewed laterally</t>
  </si>
  <si>
    <t>A. w-scripta. USGS image</t>
  </si>
  <si>
    <t>A. nigrihirta. USGS image</t>
  </si>
  <si>
    <t>https://www.flickr.com/photos/usgsbiml/albums/72157667000718326</t>
  </si>
  <si>
    <t>A. mariae. USGS image</t>
  </si>
  <si>
    <t>A. helanthi. USGS image</t>
  </si>
  <si>
    <t>A. robertsonii. USGS image</t>
  </si>
  <si>
    <t>https://www.flickr.com/photos/usgsbiml/albums/72157664850856851</t>
  </si>
  <si>
    <t>A. nivalis. USGS image</t>
  </si>
  <si>
    <t>A. miserabilis. USGS image</t>
  </si>
  <si>
    <t>https://www.flickr.com/photos/usgsbiml/albums/72157664818576312</t>
  </si>
  <si>
    <t>A. midanda. USGS image</t>
  </si>
  <si>
    <t>https://photos.smugmug.com/Discover-Life-Uploads/Andrena-PNW-specimens/i-DgT3T9W/5/22a99534/X5/Andrena%20nebecula%2Cfemale%2Clateral%2COSAC_0001245887-X5.jpg</t>
  </si>
  <si>
    <t>https://photos.smugmug.com/Discover-Life-Uploads/Andrena-PNW-specimens/i-L9mZcH2/5/6ca86560/X3/Andrena%20nebecula%2Cfemale%2Chead%2COSAC_0001245887-X3.jpg</t>
  </si>
  <si>
    <t>A. nubecula. Oregon State Arthropod Collection. Photo D. Cappaert</t>
  </si>
  <si>
    <t>#https://www.flickr.com/photos/usgsbiml/albums/72157667072210525</t>
  </si>
  <si>
    <t>#https://www.flickr.com/photos/usgsbiml/albums/72157664850766541</t>
  </si>
  <si>
    <t>#https://www.flickr.com/photos/usgsbiml/albums/72157664768074234</t>
  </si>
  <si>
    <t>#https://www.flickr.com/photos/usgsbiml/albums/72157664947701116</t>
  </si>
  <si>
    <t>#https://www.flickr.com/photos/usgsbiml/43261483472/in/album-72157697225150301/</t>
  </si>
  <si>
    <t>#https://www.flickr.com/photos/usgsbiml/albums/72157662662869694</t>
  </si>
  <si>
    <t>x</t>
  </si>
  <si>
    <t>Head_Labral_margin_emarginate_2</t>
  </si>
  <si>
    <t>Legs_Spurs_curved_2</t>
  </si>
  <si>
    <t>X</t>
  </si>
  <si>
    <t>Abdomen_Pyg_plate_present_2</t>
  </si>
  <si>
    <t>Abdomen_T2_texture_granular_2</t>
  </si>
  <si>
    <t>Thorax_Triangle_outside_coarse_2</t>
  </si>
  <si>
    <t>Malar space  - between rim of eye and base of mandible</t>
  </si>
  <si>
    <t>More than 1/3 as long as broad</t>
  </si>
  <si>
    <t>Less than 1/5 as long as broad</t>
  </si>
  <si>
    <t>1/5 to 1/3 as long as broad</t>
  </si>
  <si>
    <t>No malar space</t>
  </si>
  <si>
    <t>Slightly wider than eye rim</t>
  </si>
  <si>
    <t>Head_Fovea_width_narrow_2</t>
  </si>
  <si>
    <t>Head_Vertex_more_2</t>
  </si>
  <si>
    <t>Head_Labral_margin_bidentate_2</t>
  </si>
  <si>
    <t>Head_Fovea_width_narrow_3</t>
  </si>
  <si>
    <t>Head_Clypeus_texture_dull_2</t>
  </si>
  <si>
    <t>Thorax_Pronotal_ridge_present_2</t>
  </si>
  <si>
    <t>Legs_Scopa_hairs_plumose_2</t>
  </si>
  <si>
    <t>Head_Clypeus_midline_present_2</t>
  </si>
  <si>
    <t>###</t>
  </si>
  <si>
    <t>image-local</t>
  </si>
  <si>
    <t>###  pound signs = no pic May 23</t>
  </si>
  <si>
    <t>USGS,Andrena_thaspii,dorsal</t>
  </si>
  <si>
    <t>USGS,Andrena_thaspii,head</t>
  </si>
  <si>
    <t>USGS,Andrena_thaspii,lateral</t>
  </si>
  <si>
    <t>Andrena thaspii, f, face, Washington Co., VA_2018-05-29-15.11</t>
  </si>
  <si>
    <t>Andrena thaspii, f, back, Washington Co., VA_2018-05-29-15.04</t>
  </si>
  <si>
    <t>Andrena thaspii, f, left, Washington Co., VA_2018-05-29-15.16</t>
  </si>
  <si>
    <t>USGS final URL caption</t>
  </si>
  <si>
    <t>USGS,Andrena_thaspii,lateral.jpg</t>
  </si>
  <si>
    <t>USGS,Andrena_thaspii,head.jpg</t>
  </si>
  <si>
    <t>USGS,Andrena_thaspii,dorsal.jpg</t>
  </si>
  <si>
    <t>Andrena macoupinensis, f, left, Morgantown WV_2019-03-22-00.51.40</t>
  </si>
  <si>
    <t>Andrena macoupinensis, f, face, Morgantown WV_2019-03-22-00.58.20</t>
  </si>
  <si>
    <t>Andrena macoupinensis, f, face, Morgantown WV_2019-03-22-00.58.20.jpg</t>
  </si>
  <si>
    <t>andrena-hippotes-female-side_2012-08-02-191103</t>
  </si>
  <si>
    <t>andrena-hippotes-female-back-maryland_2013-05-31-183340</t>
  </si>
  <si>
    <t>andrena-hippotes-female-back-maryland_2013-05-31-183340.jpg</t>
  </si>
  <si>
    <t>andrena-hippotes-female-face_2012-08-02-190302.jpg</t>
  </si>
  <si>
    <t>andrena-hippotes-female-face_2012-08-02-190302</t>
  </si>
  <si>
    <t>andrena-hippotes-female-side_2012-08-02-191103.jpg</t>
  </si>
  <si>
    <t>USGS image: Andrena thaspii, f, left, Washington Co., VA_2018-05-29-15.16</t>
  </si>
  <si>
    <t>USGS image: Andrena thaspii, f, back, Washington Co., VA_2018-05-29-15.04</t>
  </si>
  <si>
    <t>USGS image: Andrena thaspii, f, face, Washington Co., VA_2018-05-29-15.11</t>
  </si>
  <si>
    <t>USGS image: Andrena macoupinensis, f, left, Morgantown WV_2019-03-22-00.51.40</t>
  </si>
  <si>
    <t>USGS image: Andrena macoupinensis, f, face, Morgantown WV_2019-03-22-00.58.20</t>
  </si>
  <si>
    <t>add resources/images/</t>
  </si>
  <si>
    <t>USGS</t>
  </si>
  <si>
    <t>resources/images/Abdomen_T2_bands_complete.jpg</t>
  </si>
  <si>
    <t>resources/images/Abdomen_T2_bands_broad.jpg</t>
  </si>
  <si>
    <t>resources/images/Abdomen_T2_bands_narrow.jpg</t>
  </si>
  <si>
    <t>resources/images/Abdomen_T2_bands_absent.jpg</t>
  </si>
  <si>
    <t>resources/images/Abdomen_T2_texture_granular.jpg</t>
  </si>
  <si>
    <t>resources/images/Abdomen_T2_texture_granular_2.jpg</t>
  </si>
  <si>
    <t>resources/images/Abdomen_T2_texture_smooth.jpg</t>
  </si>
  <si>
    <t>resources/images/Abdomen_T2_pits_dense.jpg</t>
  </si>
  <si>
    <t>resources/images/Abdomen_T2_pits_1-3.jpg</t>
  </si>
  <si>
    <t>resources/images/Abdomen_T2_pits_3+.jpg</t>
  </si>
  <si>
    <t>resources/images/Abdomen_Abd_integument_metallic.jpg</t>
  </si>
  <si>
    <t>resources/images/Abdomen_Abd_integument_red.jpg</t>
  </si>
  <si>
    <t>resources/images/Abdomen_Pyg_plate_present.jpg</t>
  </si>
  <si>
    <t>resources/images/Abdomen_Pyg_plate_present_2.jpg</t>
  </si>
  <si>
    <t>resources/images/Abdomen_T2-4_hair_dark.jpg</t>
  </si>
  <si>
    <t>resources/images/Head_Flag1_length_long.jpg</t>
  </si>
  <si>
    <t>resources/images/Head_Flag1_length_longer.jpg</t>
  </si>
  <si>
    <t>resources/images/Head_Clypeus_texture_dull.jpg</t>
  </si>
  <si>
    <t>resources/images/Head_Clypeus_texture_dull_2.jpg</t>
  </si>
  <si>
    <t>resources/images/Head_Clypeus_texture_shinydull.jpg</t>
  </si>
  <si>
    <t>resources/images/Head_Clypeus_texture_shiny.jpg</t>
  </si>
  <si>
    <t>resources/images/Head_Clypeus_midline_present_2.jpg</t>
  </si>
  <si>
    <t>resources/images/Head_Clypeus_midline_present.jpg</t>
  </si>
  <si>
    <t>resources/images/Head_Fovea_color_pale.jpg</t>
  </si>
  <si>
    <t>resources/images/Head_Fovea_color_darkpale.jpg</t>
  </si>
  <si>
    <t>resources/images/Head_Fovea_color_dark.jpg</t>
  </si>
  <si>
    <t>resources/images/Head_Fovea_depth_moderate.jpg</t>
  </si>
  <si>
    <t>resources/images/Head_Fovea_depth_deep.jpg</t>
  </si>
  <si>
    <t>resources/images/Head_Fovea_length_moderate.jpg</t>
  </si>
  <si>
    <t>resources/images/Head_Fovea_length_long.jpg</t>
  </si>
  <si>
    <t>resources/images/Head_Fovea_distance_equal.jpg</t>
  </si>
  <si>
    <t>resources/images/Head_Fovea_distance_more.jpg</t>
  </si>
  <si>
    <t>resources/images/Head_Fovea_distance_less.jpg</t>
  </si>
  <si>
    <t>resources/images/Head_Fovea_width_narrow.jpg</t>
  </si>
  <si>
    <t>resources/images/Head_Fovea_width_narrow_2.jpg</t>
  </si>
  <si>
    <t>resources/images/Head_Fovea_width_narrow_3.jpg</t>
  </si>
  <si>
    <t>resources/images/Head_Fovea_width_moderate.jpg</t>
  </si>
  <si>
    <t>resources/images/Head_Head_dimensions_quadrate.jpg</t>
  </si>
  <si>
    <t>resources/images/Head_Head_dimensions_broad.jpg</t>
  </si>
  <si>
    <t>resources/images/Head_Galea_shape_normal.jpg</t>
  </si>
  <si>
    <t>resources/images/Head_Labral_length_long.jpg</t>
  </si>
  <si>
    <t>resources/images/Head_Labral_length_moderate.jpg</t>
  </si>
  <si>
    <t>resources/images/Head_Labral_length_short.jpg</t>
  </si>
  <si>
    <t>resources/images/Head_Labral_margin_entire.jpg</t>
  </si>
  <si>
    <t>resources/images/Head_Labral_margin_emarginate.jpg</t>
  </si>
  <si>
    <t>resources/images/Head_Labral_margin_emarginate_2.jpg</t>
  </si>
  <si>
    <t>resources/images/Head_Labral_margin_bidentate.jpg</t>
  </si>
  <si>
    <t>resources/images/Head_Labral_margin_bidentate_2.jpg</t>
  </si>
  <si>
    <t>resources/images/Head_Malar_xshort.jpg</t>
  </si>
  <si>
    <t>resources/images/Head_Malar_short.jpg</t>
  </si>
  <si>
    <t>resources/images/Head_Malar_xlong.jpg</t>
  </si>
  <si>
    <t>resources/images/Head_Mandible_apex_bidentate.jpg</t>
  </si>
  <si>
    <t>resources/images/Head_Mandible_lamella_present.jpg</t>
  </si>
  <si>
    <t>resources/images/Head_Mandible_lamella_none.jpg</t>
  </si>
  <si>
    <t>resources/images/Head_Maxpalp_length_2x galea.jpg</t>
  </si>
  <si>
    <t>resources/images/Head_Vertex_more_2.jpg</t>
  </si>
  <si>
    <t>resources/images/Head_Vertex_equal.jpg</t>
  </si>
  <si>
    <t>resources/images/Head_Vertex_less.jpg</t>
  </si>
  <si>
    <t>resources/images/Head_Vertex_much.jpg</t>
  </si>
  <si>
    <t>resources/images/Legs_Femur_shape_ridged.jpg</t>
  </si>
  <si>
    <t>resources/images/Legs_Spurs_normal.jpg</t>
  </si>
  <si>
    <t>resources/images/Legs_Spurs_broad.jpg</t>
  </si>
  <si>
    <t>resources/images/Legs_Spurs_curved.jpg</t>
  </si>
  <si>
    <t>resources/images/Legs_Spurs_curved_2.jpg</t>
  </si>
  <si>
    <t>resources/images/Legs_Tibia_shape_normal.jpg</t>
  </si>
  <si>
    <t>resources/images/Legs_Tibia_shape_broad.jpg</t>
  </si>
  <si>
    <t>resources/images/Legs_Tibia_shape_narrow.jpg</t>
  </si>
  <si>
    <t>resources/images/Legs_Scopa_hairs_simple.jpg</t>
  </si>
  <si>
    <t>resources/images/Legs_Scopa_hairs_plumose.jpg</t>
  </si>
  <si>
    <t>resources/images/Legs_Scopa_hairs_plumose_2.jpg</t>
  </si>
  <si>
    <t>resources/images/Legs_Flocculus_complete.jpg</t>
  </si>
  <si>
    <t>resources/images/Legs_Flocculus_incomplete.jpg</t>
  </si>
  <si>
    <t>resources/images/Thorax_Pronotal_angle_present.jpg</t>
  </si>
  <si>
    <t>resources/images/Thorax_Pronotal_angle_weak.jpg</t>
  </si>
  <si>
    <t>resources/images/Thorax_Pronotal_angle_absent.jpg</t>
  </si>
  <si>
    <t>resources/images/Thorax_Thorax_hair_pale.jpg</t>
  </si>
  <si>
    <t>resources/images/Thorax_Thorax_hair_mixed.jpg</t>
  </si>
  <si>
    <t>resources/images/Thorax_Thorax_integument_metallic.jpg</t>
  </si>
  <si>
    <t>resources/images/Thorax_Pronotal_ridge_absent.jpg</t>
  </si>
  <si>
    <t>resources/images/Thorax_Pronotal_ridge_present.jpg</t>
  </si>
  <si>
    <t>resources/images/Thorax_Pronotal_ridge_present_2.jpg</t>
  </si>
  <si>
    <t>resources/images/Thorax_Corbicula_complete.jpg</t>
  </si>
  <si>
    <t>resources/images/Thorax_Corbicula_incomplete.jpg</t>
  </si>
  <si>
    <t>resources/images/Thorax_Triangle_ridge_present.jpg</t>
  </si>
  <si>
    <t>resources/images/Thorax_Triangle_sculpture_5-50.jpg</t>
  </si>
  <si>
    <t>resources/images/Thorax_Triangle_sculpture_100.jpg</t>
  </si>
  <si>
    <t>resources/images/Thorax_Triangle_outside_coarse.jpg</t>
  </si>
  <si>
    <t>resources/images/Thorax_Triangle_outside_coarse_2.jpg</t>
  </si>
  <si>
    <t>resources/images/Thorax_Triangle_outside_areolate.jpg</t>
  </si>
  <si>
    <t>resources/images/Thorax_Scutum_pits_1-3.jpg</t>
  </si>
  <si>
    <t>resources/images/Thorax_Scutum_pits_3+.jpg</t>
  </si>
  <si>
    <t>resources/images/Thorax_Scutum_texture_dull.jpg</t>
  </si>
  <si>
    <t>resources/images/Wing_SMC_2.jpg</t>
  </si>
  <si>
    <t>resources/images/Wing_SMC_3.jpg</t>
  </si>
  <si>
    <t>resources/images/Wing_R_long.jpg</t>
  </si>
  <si>
    <t>resources/images/Wing_R_short.jpg</t>
  </si>
  <si>
    <t>Don't copy to right of col K</t>
  </si>
  <si>
    <t>USGS image: andrena-hippotes-female-back-maryland_2013-05-31-183340</t>
  </si>
  <si>
    <t>USGS image: andrena-hippotes-female-face_2012-08-02-190302</t>
  </si>
  <si>
    <t>USGS image: andrena-hippotes-female-side_2012-08-02-191103</t>
  </si>
  <si>
    <t>#resources/images/Abdomen_T2_pits_absent.jpg</t>
  </si>
  <si>
    <t>#resources/images/Abdomen_Abd_integument_dark.jpg</t>
  </si>
  <si>
    <t>#resources/images/Abdomen_Abd_integument_faint.jpg</t>
  </si>
  <si>
    <t>#resources/images/Abdomen_Pyg_plate_absent.jpg</t>
  </si>
  <si>
    <t xml:space="preserve"> #resources/images/Abdomen_T2-4_hair_pale.jpg</t>
  </si>
  <si>
    <t>#resources/images/Abdomen_T2-4_hair_mixed.jpg</t>
  </si>
  <si>
    <t>#resources/images/Head_Clypeus_shape_normal.jpg</t>
  </si>
  <si>
    <t>#resources/images/Head_Clypeus_shape_flat.jpg</t>
  </si>
  <si>
    <t>#resources/images/Head_Clypeus_shape_bulging.jpg</t>
  </si>
  <si>
    <t>#resources/images/Head_Clypeus_midline_absent.jpg</t>
  </si>
  <si>
    <t>#resources/images/Head_Fovea_depth_shallow.jpg</t>
  </si>
  <si>
    <t>#resources/images/Head_Fovea_length_xlong.jpg</t>
  </si>
  <si>
    <t>resources/images/Andrena macoupinensis, f, face, Morgantown WV_2019-03-22-00.58.20.jpg</t>
  </si>
  <si>
    <t>resources/images/andrena-hippotes-female-back-maryland_2013-05-31-183340.jpg</t>
  </si>
  <si>
    <t>resources/images/andrena-hippotes-female-side_2012-08-02-191103.jpg</t>
  </si>
  <si>
    <t>USGS image: Andrena nivalis, F, Side,Giles Co, VA_2014-02-05-17.06.06</t>
  </si>
  <si>
    <t>USGS image: Andrena helianthi, U, side, Connecticut, New Haven County_2012-12-14-14.15.24</t>
  </si>
  <si>
    <t>USGS image: Andrena helianthi, u, back, Hartville Ohio_2018-03-06-20.23</t>
  </si>
  <si>
    <t>https://photos.smugmug.com/Discover-Life-Uploads/DL-Andrena-spp-1/i-3qz7GDP/1/27a90e1a/4K/Andrena%20nivalis%2Cmale%2ClateralOSAC_0001245528-4K.jpg</t>
  </si>
  <si>
    <t>A. nivalis. Oregon State Arthropod Collection. Photo D. Cappaert</t>
  </si>
  <si>
    <t>https://photos.smugmug.com/Discover-Life-Uploads/DL-Andrena-spp-1/i-VrCnwBz/1/4efa64b0/O/Andrena%20nivalis%2Cmale%2Cdorsal%2COSAC_0001245528.jpg</t>
  </si>
  <si>
    <t>https://photos.smugmug.com/Discover-Life-Uploads/DL-Andrena-spp-1/i-TzM8H2Z/2/d2885eba/X4/Andrena%20nivalis%2Cfemale%2Chead%2COSAC_0001245852-X4.jpg</t>
  </si>
  <si>
    <t>https://photos.smugmug.com/Discover-Life-Uploads/Andrena-PNW-specimens/i-pHK8C45/5/dedeabb1/4K/Andrena%20evoluta%2Cfemale%2Cdorsal%2CGH-4K.jpg</t>
  </si>
  <si>
    <t>A. evoluta. Quamash EcoResearch. Photo D. Cappaert</t>
  </si>
  <si>
    <t>https://photos.smugmug.com/Discover-Life-Uploads/Andrena-PNW-specimens/i-F35CPFb/5/215f81fd/4K/Andrena%20evoluta%2Cfemale%2Clateral%2CGH-4K.jpg</t>
  </si>
  <si>
    <t>resources/images/Andrena helianthi, U, side, Connecticut, New Haven County_2012-12-14-14.15.24.jpg</t>
  </si>
  <si>
    <t>resources/images/Andrena helianthi, u, back, Hartville Ohio_2018-03-06-20.23.jpg</t>
  </si>
  <si>
    <t>https://photos.smugmug.com/Discover-Life-Uploads/Andrena-PNW-specimens/i-c3xmCp9/5/d56bce86/X4/Andrena%20evoluta%2Cfemale%2Chead%2CGH-X4.jpg</t>
  </si>
  <si>
    <t>https://photos.smugmug.com/Discover-Life-Uploads/Andrena-PNW-specimens/i-BCRHz5H/5/51188677/4K/Andrena%20submosesta%2Cfemale%2Clateral%2CEMEC_HR_2014_6672-4K.jpg</t>
  </si>
  <si>
    <t>A. submoesta. Oregon State Arthropod Collection. Photo D. Cappaert</t>
  </si>
  <si>
    <t>https://photos.smugmug.com/Discover-Life-Uploads/Andrena-PNW-specimens/i-NWJTNk9/5/8582ddd7/X3/Andrena%20submosesta%2Cfemale%2Chead%2CEMEC_HR_2014_6672-X3.jpg</t>
  </si>
  <si>
    <t>https://www.yorku.ca/bugsrus/resources/galleries/img_boc/Andrena%20caerulea%20F.jpg</t>
  </si>
  <si>
    <t>A. caerulea. Image courtesy of Margarita Miklasevskaja at PCYU with funding from NSERC-CANPOLIN.</t>
  </si>
  <si>
    <t>https://photos.smugmug.com/Discover-Life-Uploads/Andrena-PNW-specimens/i-Cm4JPzB/5/fb892a5a/X5/Andrena%20caerulea%2Cfemale%2Clateral%2CTenalquot-X5.jpg</t>
  </si>
  <si>
    <t>A. caerulea. Quamash EcoResearch. Photo D. Cappaert</t>
  </si>
  <si>
    <t>https://photos.smugmug.com/Discover-Life-Uploads/Andrena-PNW-specimens/i-fcQ459t/5/33c3b578/X5/Andrena%20caerulea%2Cfemale%2Cdorsal%2CTenalquot-X5.jpg</t>
  </si>
  <si>
    <t>https://photos.smugmug.com/Discover-Life-Uploads/Andrena-PNW-specimens/i-c4zz3MN/5/18810545/X4/Andrena%20caerulea%2Cfemale%2Chead%2CTenalquot-X4.jpg</t>
  </si>
  <si>
    <t>https://photos.smugmug.com/Discover-Life-Uploads/Andrena-PNW-specimens/i-tM6dfZf/5/6f3efb9c/4K/Andrena%20auircoma%2Cfemale%2Clateral%2COSAC_0001237100-4K.jpg</t>
  </si>
  <si>
    <t>A. auricoma. Oregon State Arthropod Collection. Photo D. Cappaert</t>
  </si>
  <si>
    <t>https://photos.smugmug.com/Discover-Life-Uploads/Andrena-PNW-specimens/i-ZffMTwV/5/e572dcd7/4K/Andrena%20auircoma%2Cfemale%2Cdorsal%2COSAC_0001237100-4K.jpg</t>
  </si>
  <si>
    <t>https://photos.smugmug.com/Discover-Life-Uploads/Andrena-PNW-specimens/i-RFrP4gW/5/b55ef1a4/X4/Andrena%20auircoma%2Cfemale%2Chead%2COSAC_0001237100-X4.jpg</t>
  </si>
  <si>
    <t>https://photos.smugmug.com/Discover-Life-Uploads/Andrena-PNW-specimens/i-bzKSntn/5/f6f8d762/4K/Andrena%20astragali%2Cfemale%2Cdorsal%2CDC15May22-4K.jpg</t>
  </si>
  <si>
    <t>https://photos.smugmug.com/Discover-Life-Uploads/Andrena-PNW-specimens/i-gzfMWvg/5/ea3f6631/X4/Andrena%20astragali%2Cfemale%2Cfisher%2Chead%2CIAE111078-X4.jpg</t>
  </si>
  <si>
    <t>A. astragali. Institute for Applied Ecology. Photo D. Cappaert</t>
  </si>
  <si>
    <t>https://photos.smugmug.com/Discover-Life-Uploads/Andrena-PNW-specimens/i-rFtpmqB/5/1e360209/4K/Andrena%20astragali%2Cfemale%2Cfisher%2Clateral%2CIAE111078-4K.jpg</t>
  </si>
  <si>
    <t>https://photos.smugmug.com/Discover-Life-Uploads/Andrena-PNW-specimens/i-WBHvKqN/5/977a6169/4K/Andrena%20nigrocaerulea%2Cfemale%2Clateral%2C.OSAC_0001245487-4K.jpg</t>
  </si>
  <si>
    <t>A. nigrocaerulea. Oregon State Arthropod Collection. Photo D. Cappaert</t>
  </si>
  <si>
    <t>https://photos.smugmug.com/Discover-Life-Uploads/Andrena-PNW-specimens/i-qxjSLfK/5/58eb7383/X5/Andrena%20nigrocaerulea%2Cfemale%2Cdorsal%2COSAC_0001245487-X5.jpg</t>
  </si>
  <si>
    <t>https://photos.smugmug.com/Discover-Life-Uploads/Andrena-PNW-specimens/i-WXrjF9k/5/fe891128/X5/Andrena%20nigrihirta%2Cfemale%2Clateral%2COSAC_0001245358-X5.jpg</t>
  </si>
  <si>
    <t>A. nigrihirta. Oregon State Arthropod Collection. Photo D. Cappaert</t>
  </si>
  <si>
    <t>https://photos.smugmug.com/Discover-Life-Uploads/Andrena-PNW-specimens/i-WrSxm24/5/8f7a9489/X5/Andrena%20nigrihirta%2Cfemale%2Cdorsal%2COSAC_0001245358-X5.jpg</t>
  </si>
  <si>
    <t>https://photos.smugmug.com/Discover-Life-Uploads/Andrena-PNW-specimens/i-pz89xRN/5/9e6698b6/4K/Andrena%20nigrihirta%2Cmale%2Clateral%2COSAC_0001245385-4K.jpg</t>
  </si>
  <si>
    <t>https://photos.smugmug.com/Discover-Life-Uploads/Andrena-PNW-specimens/i-SL54j4B/5/c2fb6267/4K/Andrena%20nigrihirta%2Cmale%2Cdorsal%2COSAC_0001245385-4K.jpg</t>
  </si>
  <si>
    <t>https://photos.smugmug.com/Discover-Life-Uploads/Andrena-PNW-specimens/i-sBW5jQ3/5/9b2843a0/4K/Andrena%20pensilis%2Cfemale%2Clateral%2CIAE103799-4K.jpg</t>
  </si>
  <si>
    <t>https://photos.smugmug.com/Discover-Life-Uploads/Andrena-PNW-specimens/i-Z9JzKbn/5/f2f82d41/4K/Andrena%20pensilis%2Cfemale%2Cdorsal%2CIAE103799-4K.jpg</t>
  </si>
  <si>
    <t>https://photos.smugmug.com/Discover-Life-Uploads/Andrena-PNW-specimens/i-5TzqLsm/5/8fffd9ab/X4/Andrena%20pensilis%2Cfemale%2Chead%2CGH-X4.jpg</t>
  </si>
  <si>
    <t>A. pensilis. Institute for Applied Ecology. Photo D. Cappaert</t>
  </si>
  <si>
    <t>https://photos.smugmug.com/Discover-Life-Uploads/Andrena-PNW-specimens/i-Bxgqrch/5/5735329e/4K/Andrena%20angustitarsata%2Cfemale%2Clateral%2CStJohn-4K.jpg</t>
  </si>
  <si>
    <t>https://photos.smugmug.com/Discover-Life-Uploads/Andrena-PNW-specimens/i-mGqx2tX/5/c2b7bc5f/X5/Andrena%20angustitarsata%2Cfemale%2Cdorsal%2CStJohn-X5.jpg</t>
  </si>
  <si>
    <t>https://photos.smugmug.com/Discover-Life-Uploads/Andrena-PNW-specimens/i-zBVhbXx/5/65711621/X4/Andrena%20angustitarsata%2Cfemale%2Chead%2CStJohn-X4.jpg</t>
  </si>
  <si>
    <t>https://photos.smugmug.com/Discover-Life-Uploads/Andrena-PNW-specimens/i-nJ69tzq/5/4cf695d0/4K/Andrena%20pallidofovea%2Cfemale%2Clateral%2COSAC_0001246016-4K.jpg</t>
  </si>
  <si>
    <t>https://photos.smugmug.com/Discover-Life-Uploads/Andrena-PNW-specimens/i-TsTKFZN/5/d27a252b/4K/Andrena%20pallidofovea%2Cfemale%2Cdorsal%2COSAC_0001246016-4K.jpg</t>
  </si>
  <si>
    <t>https://photos.smugmug.com/Discover-Life-Uploads/Andrena-PNW-specimens/i-27JgDkh/5/518680da/X4/Andrena%20pallidofovea%2Cfemale%2Chead%2COSAC_0001246016-X4.jpg</t>
  </si>
  <si>
    <t>A. pallidofovea. Oregon State Arthropod Collection. Photo D. Cappaert</t>
  </si>
  <si>
    <t>https://photos.smugmug.com/Discover-Life-Uploads/Andrena-PNW-specimens/i-NVz8XQ2/2/268bfcaa/X5/Andrena%2Cfemale%2Clateral%2CDC030523_1-X5.jpg</t>
  </si>
  <si>
    <t>A. nigrae. Institute for Applied Ecology. Photo D. Cappaert</t>
  </si>
  <si>
    <t>https://www.yorku.ca/bugsrus/resources/galleries/img_boc/Andrena%20melanochroa%20F.jpg</t>
  </si>
  <si>
    <t>A. melanochlora. Image courtesy of Margarita Miklasevskaja at PCYU with funding from NSERC-CANPOLIN.</t>
  </si>
  <si>
    <t>https://www.yorku.ca/bugsrus/resources/galleries/img_boc/Andrena%20miserablis%20F.jpg</t>
  </si>
  <si>
    <t>A. mieserabilis. Image courtesy of Margarita Miklasevskaja at PCYU with funding from NSERC-CANPOLIN.</t>
  </si>
  <si>
    <t>USGS image: Andrena, miserabilis, f, left, Maryland, P.G_2018-05-16-17.46</t>
  </si>
  <si>
    <t>USGS image: Andrena, miserabilis, f, left, Maryland, P.G_2018-05-16-17.47</t>
  </si>
  <si>
    <t>https://photos.smugmug.com/Discover-Life-Uploads/Andrena-PNW-specimens/i-5T4VDpQ/5/2e20ad8f/4K/Andrena%20barbilaris%2Cfemale%2Clateral%2COSAC_0001237219-4K.jpg</t>
  </si>
  <si>
    <t>https://www.yorku.ca/bugsrus/resources/galleries/img_boc/Andrena%20candida%20F.jpg</t>
  </si>
  <si>
    <t>A. candida. Image courtesy of Margarita Miklasevskaja at PCYU with funding from NSERC-CANPOLIN.</t>
  </si>
  <si>
    <t>https://www.yorku.ca/bugsrus/resources/galleries/img_boc/Andrena%20cressonii%20F.jpg</t>
  </si>
  <si>
    <t>A. cressonii. Image courtesy of Margarita Miklasevskaja at PCYU with funding from NSERC-CANPOLIN.</t>
  </si>
  <si>
    <t>https://www.yorku.ca/bugsrus/resources/galleries/img_boc/Andrena%20cristata%20F.jpg</t>
  </si>
  <si>
    <t>A. cristata. Image courtesy of Margarita Miklasevskaja at PCYU with funding from NSERC-CANPOLIN.</t>
  </si>
  <si>
    <t>https://www.yorku.ca/bugsrus/resources/galleries/img_boc/Andrena%20merriami%20F.jpg</t>
  </si>
  <si>
    <t>A. merriami. Image courtesy of Margarita Miklasevskaja at PCYU with funding from NSERC-CANPOLIN.</t>
  </si>
  <si>
    <t>https://www.yorku.ca/bugsrus/resources/galleries/img_boc/Andrena%20scurra%20F.jpg</t>
  </si>
  <si>
    <t>A. scurra. Image courtesy of Margarita Miklasevskaja at PCYU with funding from NSERC-CANPOLIN.</t>
  </si>
  <si>
    <t>https://www.yorku.ca/bugsrus/resources/galleries/img_boc/Andrena%20robertsonii%20F.jpg</t>
  </si>
  <si>
    <t>A. robertsonii. Image courtesy of Margarita Miklasevskaja at PCYU with funding from NSERC-CANPOLIN.</t>
  </si>
  <si>
    <t>https://www.yorku.ca/bugsrus/resources/galleries/img_boc/Andrena%20andrenoides%20F.jpg</t>
  </si>
  <si>
    <t>A. andrenoides. Image courtesy of Margarita Miklasevskaja at PCYU with funding from NSERC-CANPOLIN.</t>
  </si>
  <si>
    <t>https://www.yorku.ca/bugsrus/resources/galleries/img_boc/Andrena%20nevadensis%20F.jpg</t>
  </si>
  <si>
    <t>A. nevadensis. Image courtesy of Margarita Miklasevskaja at PCYU with funding from NSERC-CANPOLIN.</t>
  </si>
  <si>
    <t>https://www.yorku.ca/bugsrus/resources/galleries/img_boc/Andrena%20trevoris%20F.jpg</t>
  </si>
  <si>
    <t>A. trevoris. Image courtesy of Margarita Miklasevskaja at PCYU with funding from NSERC-CANPOLIN.</t>
  </si>
  <si>
    <t>https://www.yorku.ca/bugsrus/resources/galleries/img_boc/Andrena%20erythrogaster%20F.jpg</t>
  </si>
  <si>
    <t>A. erythrogaster. Image courtesy of Margarita Miklasevskaja at PCYU with funding from NSERC-CANPOLIN.</t>
  </si>
  <si>
    <t>https://www.yorku.ca/bugsrus/resources/galleries/img_boc/Andrena%20perplexa%20F.jpg</t>
  </si>
  <si>
    <t>A. perplexa. Image courtesy of Margarita Miklasevskaja at PCYU with funding from NSERC-CANPOLIN.</t>
  </si>
  <si>
    <t>https://photos.smugmug.com/Discover-Life-Uploads/Andrena-PNW-specimens/i-HVv9qsC/5/e59ddfcc/X5/Andrena%20pallidoscopa%2Cfemale%2Clateral%2COSAC_0001245940-X5.jpg</t>
  </si>
  <si>
    <t>https://photos.smugmug.com/Discover-Life-Uploads/Andrena-PNW-specimens/i-6J3TNGp/5/16a08f59/4K/Andrena%20pallidoscopa%2Cfemale%2Cdorsal%2COSAC_0001245940-4K.jpg</t>
  </si>
  <si>
    <t>https://photos.smugmug.com/Discover-Life-Uploads/Andrena-PNW-specimens/i-WzP7t3W/5/b7a0af79/X4/Andrena%20pallidoscopa%2Cfemale%2Chead%2COSAC_0001245940-X4.jpg</t>
  </si>
  <si>
    <t>A. pallidoscopa. Oregon State Arthropod Collection. Photo D. Cappaert</t>
  </si>
  <si>
    <t>USGS image: Andrena mariae, female, back_2012-08-03-16.51.46</t>
  </si>
  <si>
    <t>resources/images/Andrena mariae, female, back_2012-08-03-16.51.46.jpg</t>
  </si>
  <si>
    <t>Chg - to _</t>
  </si>
  <si>
    <t>resources/images/andrena_hippotes_female_face_2012_08_02_190302.jpg</t>
  </si>
  <si>
    <t>ok</t>
  </si>
  <si>
    <t>resources/images/Andrena thaspii, f, left, Washington Co., VA_2018-05-29-15.16.jpg</t>
  </si>
  <si>
    <t>resources/images/Andrena thaspii, f, back, Washington Co., VA_2018-05-29-15.04.jpg</t>
  </si>
  <si>
    <t>resources/images/Andrena thaspii, f, face, Washington Co., VA_2018-05-29-15.11.jpg</t>
  </si>
  <si>
    <t>OK</t>
  </si>
  <si>
    <t>resources/images/Andrena macoupinensis, f, left, Morgantown WV_2019-03-22-00.51.40.jpg</t>
  </si>
  <si>
    <t>USGS image: Andrena macoupinensis, f, face, Morgantown WV_2019-03-22-00.58.21</t>
  </si>
  <si>
    <t>resources/images/Andrena, miserabilis, f, back, Maryland, P.G_2018-05-16-17.24.jpg</t>
  </si>
  <si>
    <t>USGS image: Andrena, miserabilis, f, back, Maryland, P.G_2018-05-16-17.24</t>
  </si>
  <si>
    <t>resources/images/Andrena, miserabilis, f, left, Maryland, P.G_2018-05-16-17.46.jpg</t>
  </si>
  <si>
    <t>resources/images/Andrena, miserabilis, f, face, Maryland, P.G_2018-05-16-17.34.jpg</t>
  </si>
  <si>
    <t>#resources/images/Head_Labral_margin_pointed.jpg</t>
  </si>
  <si>
    <t>#resources/images/Head_Malar_moderate.jpg</t>
  </si>
  <si>
    <t>#resources/images/Head_Malar_long.jpg</t>
  </si>
  <si>
    <t>#resources/images/Head_Mandible_apex_tridentate.jpg</t>
  </si>
  <si>
    <t>#resources/images/Head_Mandible_lamella_present_broad.jpg</t>
  </si>
  <si>
    <t>#resources/images/Head_Head_dimensions_long.jpg</t>
  </si>
  <si>
    <t>#resources/images/Thorax_Scutum_texture_somewhat.jpg</t>
  </si>
  <si>
    <t>#resources/images/Thorax_Scutum_texture_shiny.jpg</t>
  </si>
  <si>
    <t>#resources/images/Thorax_Scutum_pits_less.jpg</t>
  </si>
  <si>
    <t>#resources/images/Thorax_Scutum_pits_absent.jpg</t>
  </si>
  <si>
    <t>#resources/images/Thorax_Triangle_outside_fine.jpg</t>
  </si>
  <si>
    <t>#resources/images/Thorax_Triangle_outside_dull.jpg</t>
  </si>
  <si>
    <t>resources/images/Thorax_Triangle_sculpture_100_2.jpg</t>
  </si>
  <si>
    <t>#resources/images/Thorax_Triangle_sculpture_50-80.jpg</t>
  </si>
  <si>
    <t>#resources/images/Thorax_Triangle_sculpture_0.jpg</t>
  </si>
  <si>
    <t>#resources/images/Thorax_Triangle_ridge_absent.jpg</t>
  </si>
  <si>
    <t>#resources/images/Thorax_Pronotal_ridge_weak.jpg</t>
  </si>
  <si>
    <t>#resources/images/Thorax_Thorax_integument_faint.jpg</t>
  </si>
  <si>
    <t>#resources/images/Thorax_Thorax_integument_dark.jpg</t>
  </si>
  <si>
    <t>#resources/images/Thorax_Thorax_hair_dark.jpg</t>
  </si>
  <si>
    <t>#resources/images/Legs_Scopa_hairs_weak.jpg</t>
  </si>
  <si>
    <t>#resources/images/Legs_Scopa_color_dark.jpg</t>
  </si>
  <si>
    <t>#resources/images/Legs_Scopa_color_mixed.jpg</t>
  </si>
  <si>
    <t>#resources/images/Legs_Scopa_color_pale.jpg</t>
  </si>
  <si>
    <t>#resources/images/Legs_Femur_shape_normal.jpg</t>
  </si>
  <si>
    <t>#resources/images/Legs_Midbasitarsus_width_expanded.jpg</t>
  </si>
  <si>
    <t>#resources/images/Legs_Midbasitarsus_width_normal.jpg</t>
  </si>
  <si>
    <t>#resources/images/Head_Maxpalp_length_short.jpg</t>
  </si>
  <si>
    <t>#resources/images/Head_Maxpalp_length_3x galea.jpg</t>
  </si>
  <si>
    <t>#resources/images/Head_Mandible_lamella_tooth.jpg</t>
  </si>
  <si>
    <t>#resources/images/Andrena macoupinensis, f, back, Prince George's Co. Maryland_2019-12-16-19.37.25.jpg</t>
  </si>
  <si>
    <t>#resources/images/Head_Fovea_length_short.jpg</t>
  </si>
  <si>
    <t>#resources/images/Head_Fovea_width_broad.jpg</t>
  </si>
  <si>
    <t>#resources/images/Head_Labral_margin_weak.jpg</t>
  </si>
  <si>
    <t>resources/images/Andrena nivalis, F, Side,Giles Co, VA_2014-02-05-17.06.06.jpg</t>
  </si>
  <si>
    <t>#resources/images/Head_Galea_shape_spear.jpg</t>
  </si>
  <si>
    <t>resources/images/Andrena miranda, female, left_2012-10-26-15.41.26.jpg</t>
  </si>
  <si>
    <t>resources/images/Andrena miranda, female, back_2012-10-26-15.41.26.jpg</t>
  </si>
  <si>
    <t>resources/images/Andrena miranda, female, face_2012-10-26-15.41.26.jpg</t>
  </si>
  <si>
    <t>#https://www.flickr.com/photos/usgsbiml/albums/72157664818576312</t>
  </si>
  <si>
    <t>USGS image: Andrena miranda, female, left_2012-10-26-15.41.26</t>
  </si>
  <si>
    <t>resources/images/Head_Vertex_much2.jpg</t>
  </si>
  <si>
    <t>dark|darkpale|pale</t>
  </si>
  <si>
    <t>https://photos.smugmug.com/Discover-Life-Uploads/Andrena-PNW-specimens/i-bqQtkT5/0/4c29f13b/4K/Andrena%20crataegi%2Cfemale%2Clateral%2CDLC%20060123_4-4K.jpg</t>
  </si>
  <si>
    <t>A. crataegi</t>
  </si>
  <si>
    <t>https://photos.smugmug.com/Discover-Life-Uploads/Andrena-PNW-specimens/i-5b4nThp/0/f1016474/4K/Andrena%20crataegi%2Cfemale%2Cdorsal%2CDLC%20060123_4-4K.jpg</t>
  </si>
  <si>
    <t>https://photos.smugmug.com/Discover-Life-Uploads/Andrena-PNW-specimens/i-k5QQBwd/0/2283fdb1/X5/Andrena%20crataegi%2Cfemale%2Chead%2CDLC%20060123_4-X5.jpg</t>
  </si>
  <si>
    <t>https://photos.smugmug.com/Discover-Life-Uploads/Andrena-PNW-specimens/i-S7bc4zj/0/2a9830e8/4K/Andrena%20salicifloris%2Cfemale%2Clateral%2CDC060323_2-4K.jpg</t>
  </si>
  <si>
    <t>https://photos.smugmug.com/Discover-Life-Uploads/Andrena-PNW-specimens/i-Knvbq65/0/5234c7c6/4K/Andrena%20salicifloris%2Cfemale%2Cdorsal%2CDC060323_3-4K.jpg</t>
  </si>
  <si>
    <t>https://photos.smugmug.com/Discover-Life-Uploads/Andrena-PNW-specimens/i-6kPbf4C/0/30dbf169/X5/Andrena%20salicifloris%2Cfemale%2Chead%2CDC060323_2-X5.jpg</t>
  </si>
  <si>
    <t>A. salicifloris</t>
  </si>
  <si>
    <t>https://photos.smugmug.com/Discover-Life-Uploads/Andrena-PNW-specimens/i-Tm54fTX/0/f2edec37/4K/Andrena%20nigrocaerulea%2Cfemale%2Clateral%2CDC060223_1-4K.jpg</t>
  </si>
  <si>
    <t>https://photos.smugmug.com/Discover-Life-Uploads/Andrena-PNW-specimens/i-BGzK6Gz/0/00cdb615/4K/Andrena%20nigrocaerulea%2Cfemale%2Cdorsal%2CDC060223_1-4K.jpg</t>
  </si>
  <si>
    <t>https://photos.smugmug.com/Discover-Life-Uploads/Andrena-PNW-specimens/i-fhFCP7m/0/b79a897e/X5/Andrena%20nigrocaerulea%2Cfemale%2Chead%2CDC060223_1-X5.jpg</t>
  </si>
  <si>
    <t>https://photos.smugmug.com/Discover-Life-Uploads/Andrena-PNW-specimens/i-gQXPNgN/0/0b4d719b/X5/Andrena%20auricoma%2Cfemale%2Clateral%2CHerbert.DC052923_1-X5.jpg</t>
  </si>
  <si>
    <t>https://photos.smugmug.com/Discover-Life-Uploads/Andrena-PNW-specimens/i-fxp8ztc/0/b472082c/4K/Andrena%20auricoma%2Cfemale%2Cdorsal%2CHerbert%2CDC052923_1-4K.jpg</t>
  </si>
  <si>
    <t>https://photos.smugmug.com/Discover-Life-Uploads/Andrena-PNW-specimens/i-7KzJPD3/0/5da4b29b/X4/Andrena%20auricoma%2Cfemale%2Chead%2CHerbert%2CDC052923_1-X4.jpg</t>
  </si>
  <si>
    <t>A. nigrocaerulea</t>
  </si>
  <si>
    <t>A. auricoma</t>
  </si>
  <si>
    <t>https://photos.smugmug.com/Discover-Life-Uploads/Andrena-PNW-specimens/i-K4Tz3D3/0/6a8f1ac7/4K/Andrena%20angustitarsata%2Cfemale%2Clateral%2CDLC%20060123_1-4K.jpg</t>
  </si>
  <si>
    <t>https://photos.smugmug.com/Discover-Life-Uploads/Andrena-PNW-specimens/i-LR8DRPc/0/014de406/4K/Andrena%20angustitarsata%2Cfemale%2Cdorsal%2CDLC%20060123_1-4K.jpg</t>
  </si>
  <si>
    <t>https://photos.smugmug.com/Discover-Life-Uploads/Andrena-PNW-specimens/i-sdjHdSM/0/d2b75713/X4/Andrena%20angustitarsata%2Cfemale%2Chead%2CDLC%20060123_1-X4.jpg</t>
  </si>
  <si>
    <t>A. augustitarsata</t>
  </si>
  <si>
    <t>https://photos.smugmug.com/Discover-Life-Uploads/Andrena-PNW-specimens/i-BbCGbT7/1/bddfde34/4K/Andrena%20vicina%2Cfemale%2Clateral%2CDLC%20060123_7-4K.jpg</t>
  </si>
  <si>
    <t>https://photos.smugmug.com/Discover-Life-Uploads/Andrena-PNW-specimens/i-MLrT8ZL/1/ceb7c738/4K/Andrena%20vicina%2Cfemale%2Cdorsal%2CDLC%20060123_7-4K.jpg</t>
  </si>
  <si>
    <t>https://photos.smugmug.com/Discover-Life-Uploads/Andrena-PNW-specimens/i-7FnLGW3/1/cac9d9ff/X4/Andrena%20vicina%2Cfemale%2Chead%2CDLC%20060123_7-X4.jpg</t>
  </si>
  <si>
    <t>A. vicina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</si>
</sst>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5"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1"/>
      <color rgb="FF000000"/>
      <name val="Calibri"/>
      <family val="2"/>
      <scheme val="minor"/>
    </font>
    <font>
      <sz val="8"/>
      <name val="Calibri"/>
      <family val="2"/>
      <scheme val="minor"/>
    </font>
    <font>
      <b/>
      <sz val="10"/>
      <color theme="1"/>
      <name val="Arial"/>
      <family val="2"/>
    </font>
    <font>
      <sz val="12"/>
      <color rgb="FF000000"/>
      <name val="Calibri"/>
      <family val="2"/>
      <scheme val="minor"/>
    </font>
    <font>
      <sz val="10"/>
      <color theme="1"/>
      <name val="Arial"/>
      <family val="2"/>
    </font>
    <font>
      <sz val="14"/>
      <color rgb="FF000000"/>
      <name val="Arial"/>
      <family val="2"/>
    </font>
    <font>
      <sz val="16"/>
      <color rgb="FF212124"/>
      <name val="Helvetica Neue"/>
      <family val="2"/>
    </font>
    <font>
      <sz val="20"/>
      <color theme="1"/>
      <name val="Calibri"/>
      <family val="2"/>
      <scheme val="minor"/>
    </font>
    <font>
      <sz val="18"/>
      <color theme="1"/>
      <name val="Calibri"/>
      <family val="2"/>
      <scheme val="minor"/>
    </font>
    <font>
      <b/>
      <sz val="18"/>
      <color theme="0"/>
      <name val="Calibri"/>
      <family val="2"/>
      <scheme val="minor"/>
    </font>
    <font>
      <sz val="18"/>
      <color theme="0"/>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D9E1F2"/>
        <bgColor rgb="FF000000"/>
      </patternFill>
    </fill>
    <fill>
      <patternFill patternType="solid">
        <fgColor rgb="FFFFC8CE"/>
        <bgColor indexed="64"/>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8" fillId="0" borderId="3" applyNumberFormat="0" applyFill="0" applyAlignment="0" applyProtection="0"/>
    <xf numFmtId="0" fontId="8" fillId="0" borderId="0" applyNumberFormat="0" applyFill="0" applyBorder="0" applyAlignment="0" applyProtection="0"/>
    <xf numFmtId="0" fontId="9"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4" applyNumberFormat="0" applyAlignment="0" applyProtection="0"/>
    <xf numFmtId="0" fontId="13" fillId="6" borderId="5" applyNumberFormat="0" applyAlignment="0" applyProtection="0"/>
    <xf numFmtId="0" fontId="14" fillId="6" borderId="4" applyNumberFormat="0" applyAlignment="0" applyProtection="0"/>
    <xf numFmtId="0" fontId="15" fillId="0" borderId="6" applyNumberFormat="0" applyFill="0" applyAlignment="0" applyProtection="0"/>
    <xf numFmtId="0" fontId="16" fillId="7" borderId="7" applyNumberFormat="0" applyAlignment="0" applyProtection="0"/>
    <xf numFmtId="0" fontId="17" fillId="0" borderId="0" applyNumberFormat="0" applyFill="0" applyBorder="0" applyAlignment="0" applyProtection="0"/>
    <xf numFmtId="0" fontId="4" fillId="8" borderId="8" applyNumberFormat="0" applyFon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20" fillId="20" borderId="0" applyNumberFormat="0" applyBorder="0" applyAlignment="0" applyProtection="0"/>
    <xf numFmtId="0" fontId="20"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20" fillId="28" borderId="0" applyNumberFormat="0" applyBorder="0" applyAlignment="0" applyProtection="0"/>
    <xf numFmtId="0" fontId="20"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20" fillId="32" borderId="0" applyNumberFormat="0" applyBorder="0" applyAlignment="0" applyProtection="0"/>
    <xf numFmtId="0" fontId="23" fillId="0" borderId="0"/>
    <xf numFmtId="0" fontId="1" fillId="0" borderId="0"/>
  </cellStyleXfs>
  <cellXfs count="45">
    <xf numFmtId="0" fontId="0" fillId="0" borderId="0" xfId="0"/>
    <xf numFmtId="0" fontId="19" fillId="0" borderId="0" xfId="0" applyFont="1"/>
    <xf numFmtId="49" fontId="0" fillId="0" borderId="0" xfId="0" applyNumberFormat="1" applyAlignment="1">
      <alignment wrapText="1"/>
    </xf>
    <xf numFmtId="49" fontId="0" fillId="0" borderId="0" xfId="0" applyNumberFormat="1"/>
    <xf numFmtId="9" fontId="0" fillId="0" borderId="0" xfId="0" applyNumberFormat="1"/>
    <xf numFmtId="9" fontId="19" fillId="0" borderId="0" xfId="0" applyNumberFormat="1" applyFont="1"/>
    <xf numFmtId="0" fontId="3" fillId="0" borderId="0" xfId="0" applyFont="1"/>
    <xf numFmtId="14" fontId="3" fillId="0" borderId="0" xfId="0" applyNumberFormat="1" applyFont="1"/>
    <xf numFmtId="0" fontId="2" fillId="0" borderId="0" xfId="0" applyFont="1"/>
    <xf numFmtId="0" fontId="26" fillId="0" borderId="0" xfId="43" applyFont="1"/>
    <xf numFmtId="0" fontId="27" fillId="0" borderId="0" xfId="0" applyFont="1"/>
    <xf numFmtId="0" fontId="28" fillId="0" borderId="0" xfId="43" applyFont="1"/>
    <xf numFmtId="0" fontId="0" fillId="33" borderId="0" xfId="0" applyFill="1"/>
    <xf numFmtId="0" fontId="26" fillId="33" borderId="0" xfId="43" applyFont="1" applyFill="1"/>
    <xf numFmtId="0" fontId="28" fillId="33" borderId="0" xfId="43" applyFont="1" applyFill="1"/>
    <xf numFmtId="0" fontId="0" fillId="34" borderId="0" xfId="0" applyFill="1"/>
    <xf numFmtId="0" fontId="0" fillId="35" borderId="0" xfId="0" applyFill="1"/>
    <xf numFmtId="0" fontId="28" fillId="35" borderId="0" xfId="43" applyFont="1" applyFill="1"/>
    <xf numFmtId="0" fontId="0" fillId="36" borderId="0" xfId="0" applyFill="1"/>
    <xf numFmtId="0" fontId="28" fillId="36" borderId="0" xfId="43" applyFont="1" applyFill="1"/>
    <xf numFmtId="0" fontId="19" fillId="33" borderId="0" xfId="0" applyFont="1" applyFill="1"/>
    <xf numFmtId="0" fontId="24" fillId="37" borderId="0" xfId="0" applyFont="1" applyFill="1"/>
    <xf numFmtId="0" fontId="19" fillId="34" borderId="0" xfId="0" applyFont="1" applyFill="1"/>
    <xf numFmtId="0" fontId="19" fillId="35" borderId="0" xfId="0" applyFont="1" applyFill="1"/>
    <xf numFmtId="0" fontId="0" fillId="0" borderId="0" xfId="0" quotePrefix="1"/>
    <xf numFmtId="17" fontId="0" fillId="0" borderId="0" xfId="0" quotePrefix="1" applyNumberFormat="1"/>
    <xf numFmtId="16" fontId="0" fillId="0" borderId="0" xfId="0" quotePrefix="1" applyNumberFormat="1"/>
    <xf numFmtId="49" fontId="0" fillId="33" borderId="0" xfId="0" quotePrefix="1" applyNumberFormat="1" applyFill="1"/>
    <xf numFmtId="49" fontId="0" fillId="35" borderId="0" xfId="0" quotePrefix="1" applyNumberFormat="1" applyFill="1"/>
    <xf numFmtId="0" fontId="17" fillId="0" borderId="0" xfId="0" applyFont="1"/>
    <xf numFmtId="16" fontId="0" fillId="0" borderId="0" xfId="0" applyNumberFormat="1"/>
    <xf numFmtId="0" fontId="29" fillId="0" borderId="0" xfId="0" applyFont="1"/>
    <xf numFmtId="0" fontId="0" fillId="38" borderId="0" xfId="0" applyFill="1"/>
    <xf numFmtId="9" fontId="0" fillId="38" borderId="0" xfId="0" applyNumberFormat="1" applyFill="1"/>
    <xf numFmtId="0" fontId="26" fillId="38" borderId="0" xfId="43" applyFont="1" applyFill="1"/>
    <xf numFmtId="0" fontId="28" fillId="38" borderId="0" xfId="43" applyFont="1" applyFill="1"/>
    <xf numFmtId="0" fontId="30" fillId="0" borderId="0" xfId="0" applyFont="1"/>
    <xf numFmtId="9" fontId="0" fillId="34" borderId="0" xfId="0" applyNumberFormat="1" applyFill="1"/>
    <xf numFmtId="0" fontId="30" fillId="34" borderId="0" xfId="0" applyFont="1" applyFill="1"/>
    <xf numFmtId="0" fontId="31" fillId="0" borderId="0" xfId="0" applyFont="1"/>
    <xf numFmtId="0" fontId="33" fillId="39" borderId="0" xfId="0" applyFont="1" applyFill="1"/>
    <xf numFmtId="0" fontId="34" fillId="39" borderId="0" xfId="0" applyFont="1" applyFill="1"/>
    <xf numFmtId="0" fontId="20" fillId="39" borderId="0" xfId="0" applyFont="1" applyFill="1"/>
    <xf numFmtId="9" fontId="20" fillId="39" borderId="0" xfId="0" applyNumberFormat="1" applyFont="1" applyFill="1"/>
    <xf numFmtId="0" fontId="32" fillId="34" borderId="0" xfId="0" applyFont="1" applyFill="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6000000}"/>
    <cellStyle name="Normal 4" xfId="43" xr:uid="{1E970505-CCA0-644D-AB4E-56DDC10560EC}"/>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C8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AS46"/>
  <sheetViews>
    <sheetView zoomScaleNormal="85" workbookViewId="0">
      <pane ySplit="2" topLeftCell="A3" activePane="bottomLeft" state="frozen"/>
      <selection activeCell="I17" sqref="I17"/>
      <selection pane="bottomLeft" activeCell="D10" sqref="D10"/>
    </sheetView>
  </sheetViews>
  <sheetFormatPr baseColWidth="10" defaultColWidth="8.83203125" defaultRowHeight="15" x14ac:dyDescent="0.2"/>
  <cols>
    <col min="1" max="1" width="23.33203125" bestFit="1" customWidth="1"/>
    <col min="2" max="2" width="7.33203125" customWidth="1"/>
    <col min="3" max="3" width="12.33203125" style="12" customWidth="1"/>
    <col min="4" max="4" width="14.5" style="12" customWidth="1"/>
    <col min="5" max="5" width="15.83203125" style="12" customWidth="1"/>
    <col min="6" max="6" width="12.33203125" style="12" customWidth="1"/>
    <col min="7" max="7" width="5.6640625" style="12" customWidth="1"/>
    <col min="8" max="8" width="6" style="12" customWidth="1"/>
    <col min="9" max="9" width="7.5" style="15" customWidth="1"/>
    <col min="10" max="10" width="8.83203125" style="15"/>
    <col min="11" max="11" width="12.83203125" style="15" customWidth="1"/>
    <col min="12" max="26" width="8.83203125" style="15"/>
    <col min="27" max="33" width="8.83203125" style="16"/>
    <col min="37" max="37" width="11" customWidth="1"/>
    <col min="44" max="45" width="8.83203125" style="18"/>
  </cols>
  <sheetData>
    <row r="1" spans="1:45" x14ac:dyDescent="0.2">
      <c r="A1" t="s">
        <v>535</v>
      </c>
    </row>
    <row r="2" spans="1:45" s="1" customFormat="1" x14ac:dyDescent="0.2">
      <c r="A2" t="s">
        <v>9</v>
      </c>
      <c r="B2" t="s">
        <v>65</v>
      </c>
      <c r="C2" t="s">
        <v>136</v>
      </c>
      <c r="D2" t="s">
        <v>171</v>
      </c>
      <c r="E2" t="s">
        <v>135</v>
      </c>
      <c r="F2" t="s">
        <v>137</v>
      </c>
      <c r="G2" t="s">
        <v>138</v>
      </c>
      <c r="H2" t="s">
        <v>176</v>
      </c>
      <c r="I2" t="s">
        <v>139</v>
      </c>
      <c r="J2" t="s">
        <v>140</v>
      </c>
      <c r="K2" t="s">
        <v>141</v>
      </c>
      <c r="L2" t="s">
        <v>142</v>
      </c>
      <c r="M2" t="s">
        <v>143</v>
      </c>
      <c r="N2" t="s">
        <v>144</v>
      </c>
      <c r="O2" t="s">
        <v>145</v>
      </c>
      <c r="P2" t="s">
        <v>185</v>
      </c>
      <c r="Q2" t="s">
        <v>146</v>
      </c>
      <c r="R2" t="s">
        <v>147</v>
      </c>
      <c r="S2" t="s">
        <v>148</v>
      </c>
      <c r="T2" t="s">
        <v>149</v>
      </c>
      <c r="U2" t="s">
        <v>150</v>
      </c>
      <c r="V2" t="s">
        <v>74</v>
      </c>
      <c r="W2" t="s">
        <v>151</v>
      </c>
      <c r="X2" t="s">
        <v>152</v>
      </c>
      <c r="Y2" t="s">
        <v>153</v>
      </c>
      <c r="Z2" t="s">
        <v>69</v>
      </c>
      <c r="AA2" t="s">
        <v>154</v>
      </c>
      <c r="AB2" t="s">
        <v>155</v>
      </c>
      <c r="AC2" t="s">
        <v>156</v>
      </c>
      <c r="AD2" t="s">
        <v>157</v>
      </c>
      <c r="AE2" t="s">
        <v>158</v>
      </c>
      <c r="AF2" t="s">
        <v>159</v>
      </c>
      <c r="AG2" t="s">
        <v>160</v>
      </c>
      <c r="AH2" t="s">
        <v>161</v>
      </c>
      <c r="AI2" t="s">
        <v>162</v>
      </c>
      <c r="AJ2" t="s">
        <v>163</v>
      </c>
      <c r="AK2" t="s">
        <v>164</v>
      </c>
      <c r="AL2" t="s">
        <v>70</v>
      </c>
      <c r="AM2" t="s">
        <v>201</v>
      </c>
      <c r="AN2" t="s">
        <v>165</v>
      </c>
      <c r="AO2" t="s">
        <v>166</v>
      </c>
      <c r="AP2" t="s">
        <v>167</v>
      </c>
      <c r="AQ2" t="s">
        <v>168</v>
      </c>
      <c r="AR2" t="s">
        <v>169</v>
      </c>
      <c r="AS2" t="s">
        <v>170</v>
      </c>
    </row>
    <row r="3" spans="1:45" x14ac:dyDescent="0.2">
      <c r="A3" t="s">
        <v>118</v>
      </c>
      <c r="C3" t="s">
        <v>256</v>
      </c>
      <c r="D3" t="s">
        <v>173</v>
      </c>
      <c r="E3" t="s">
        <v>257</v>
      </c>
      <c r="F3" t="s">
        <v>208</v>
      </c>
      <c r="G3" t="s">
        <v>218</v>
      </c>
      <c r="H3" t="s">
        <v>230</v>
      </c>
      <c r="I3" t="s">
        <v>178</v>
      </c>
      <c r="J3" t="s">
        <v>249</v>
      </c>
      <c r="K3" t="s">
        <v>180</v>
      </c>
      <c r="L3" t="s">
        <v>181</v>
      </c>
      <c r="M3" t="s">
        <v>210</v>
      </c>
      <c r="N3" t="s">
        <v>211</v>
      </c>
      <c r="O3" t="s">
        <v>258</v>
      </c>
      <c r="P3" t="s">
        <v>259</v>
      </c>
      <c r="Q3" t="s">
        <v>329</v>
      </c>
      <c r="R3" t="s">
        <v>215</v>
      </c>
      <c r="S3" t="s">
        <v>179</v>
      </c>
      <c r="T3" t="s">
        <v>260</v>
      </c>
      <c r="U3" t="s">
        <v>261</v>
      </c>
      <c r="V3" t="s">
        <v>184</v>
      </c>
      <c r="W3" t="s">
        <v>192</v>
      </c>
      <c r="X3" t="s">
        <v>262</v>
      </c>
      <c r="Y3" t="s">
        <v>263</v>
      </c>
      <c r="Z3" t="s">
        <v>195</v>
      </c>
      <c r="AA3" t="s">
        <v>179</v>
      </c>
      <c r="AB3" t="s">
        <v>179</v>
      </c>
      <c r="AC3" t="s">
        <v>179</v>
      </c>
      <c r="AD3" t="s">
        <v>264</v>
      </c>
      <c r="AE3" t="s">
        <v>426</v>
      </c>
      <c r="AF3" t="s">
        <v>197</v>
      </c>
      <c r="AG3" t="s">
        <v>198</v>
      </c>
      <c r="AH3" t="s">
        <v>218</v>
      </c>
      <c r="AI3" t="s">
        <v>530</v>
      </c>
      <c r="AJ3" t="s">
        <v>208</v>
      </c>
      <c r="AK3" t="s">
        <v>218</v>
      </c>
      <c r="AL3" t="s">
        <v>265</v>
      </c>
      <c r="AM3" t="s">
        <v>58</v>
      </c>
      <c r="AN3" t="s">
        <v>202</v>
      </c>
      <c r="AO3" t="s">
        <v>209</v>
      </c>
      <c r="AP3" t="s">
        <v>266</v>
      </c>
      <c r="AQ3" t="s">
        <v>244</v>
      </c>
      <c r="AR3">
        <v>3</v>
      </c>
      <c r="AS3" t="s">
        <v>225</v>
      </c>
    </row>
    <row r="4" spans="1:45" x14ac:dyDescent="0.2">
      <c r="A4" t="s">
        <v>119</v>
      </c>
      <c r="C4" t="s">
        <v>267</v>
      </c>
      <c r="D4" t="s">
        <v>227</v>
      </c>
      <c r="E4" t="s">
        <v>268</v>
      </c>
      <c r="F4" t="s">
        <v>208</v>
      </c>
      <c r="G4" t="s">
        <v>175</v>
      </c>
      <c r="H4" t="s">
        <v>177</v>
      </c>
      <c r="I4" t="s">
        <v>178</v>
      </c>
      <c r="J4" t="s">
        <v>232</v>
      </c>
      <c r="K4" t="s">
        <v>269</v>
      </c>
      <c r="L4" t="s">
        <v>181</v>
      </c>
      <c r="M4" t="s">
        <v>177</v>
      </c>
      <c r="N4" t="s">
        <v>270</v>
      </c>
      <c r="O4" t="s">
        <v>271</v>
      </c>
      <c r="P4" t="s">
        <v>213</v>
      </c>
      <c r="Q4" t="s">
        <v>272</v>
      </c>
      <c r="R4" t="s">
        <v>188</v>
      </c>
      <c r="S4" t="s">
        <v>179</v>
      </c>
      <c r="T4" t="s">
        <v>271</v>
      </c>
      <c r="U4" t="s">
        <v>534</v>
      </c>
      <c r="V4" t="s">
        <v>273</v>
      </c>
      <c r="W4" t="s">
        <v>192</v>
      </c>
      <c r="X4" t="s">
        <v>262</v>
      </c>
      <c r="Y4" t="s">
        <v>207</v>
      </c>
      <c r="Z4" t="s">
        <v>195</v>
      </c>
      <c r="AA4" t="s">
        <v>283</v>
      </c>
      <c r="AB4" t="s">
        <v>179</v>
      </c>
      <c r="AC4" t="s">
        <v>179</v>
      </c>
      <c r="AD4" t="s">
        <v>179</v>
      </c>
      <c r="AE4" t="s">
        <v>177</v>
      </c>
      <c r="AF4" t="s">
        <v>275</v>
      </c>
      <c r="AG4" t="s">
        <v>198</v>
      </c>
      <c r="AH4" t="s">
        <v>199</v>
      </c>
      <c r="AI4" t="s">
        <v>177</v>
      </c>
      <c r="AJ4" t="s">
        <v>208</v>
      </c>
      <c r="AK4" t="s">
        <v>58</v>
      </c>
      <c r="AL4" t="s">
        <v>200</v>
      </c>
      <c r="AM4" t="s">
        <v>58</v>
      </c>
      <c r="AN4" t="s">
        <v>276</v>
      </c>
      <c r="AO4" t="s">
        <v>285</v>
      </c>
      <c r="AP4" t="s">
        <v>277</v>
      </c>
      <c r="AQ4" t="s">
        <v>244</v>
      </c>
      <c r="AR4">
        <v>3</v>
      </c>
      <c r="AS4" t="s">
        <v>207</v>
      </c>
    </row>
    <row r="5" spans="1:45" x14ac:dyDescent="0.2">
      <c r="A5" t="s">
        <v>77</v>
      </c>
      <c r="C5" t="s">
        <v>198</v>
      </c>
      <c r="D5" t="s">
        <v>173</v>
      </c>
      <c r="E5" t="s">
        <v>224</v>
      </c>
      <c r="F5" t="s">
        <v>208</v>
      </c>
      <c r="G5" t="s">
        <v>175</v>
      </c>
      <c r="H5" t="s">
        <v>177</v>
      </c>
      <c r="I5" t="s">
        <v>278</v>
      </c>
      <c r="J5" t="s">
        <v>249</v>
      </c>
      <c r="K5" t="s">
        <v>279</v>
      </c>
      <c r="L5" t="s">
        <v>181</v>
      </c>
      <c r="M5" t="s">
        <v>177</v>
      </c>
      <c r="N5" t="s">
        <v>280</v>
      </c>
      <c r="O5" t="s">
        <v>189</v>
      </c>
      <c r="P5" t="s">
        <v>213</v>
      </c>
      <c r="Q5" t="s">
        <v>214</v>
      </c>
      <c r="R5" t="s">
        <v>236</v>
      </c>
      <c r="S5" t="s">
        <v>179</v>
      </c>
      <c r="T5" t="s">
        <v>189</v>
      </c>
      <c r="U5" t="s">
        <v>281</v>
      </c>
      <c r="V5" t="s">
        <v>368</v>
      </c>
      <c r="W5" t="s">
        <v>192</v>
      </c>
      <c r="X5" t="s">
        <v>193</v>
      </c>
      <c r="Y5" t="s">
        <v>282</v>
      </c>
      <c r="Z5" t="s">
        <v>220</v>
      </c>
      <c r="AA5" t="s">
        <v>283</v>
      </c>
      <c r="AB5" t="s">
        <v>179</v>
      </c>
      <c r="AC5" t="s">
        <v>179</v>
      </c>
      <c r="AD5" t="s">
        <v>240</v>
      </c>
      <c r="AE5" t="s">
        <v>230</v>
      </c>
      <c r="AF5" t="s">
        <v>222</v>
      </c>
      <c r="AG5" t="s">
        <v>265</v>
      </c>
      <c r="AH5" t="s">
        <v>284</v>
      </c>
      <c r="AI5" t="s">
        <v>177</v>
      </c>
      <c r="AJ5" t="s">
        <v>208</v>
      </c>
      <c r="AK5" t="s">
        <v>284</v>
      </c>
      <c r="AL5" t="s">
        <v>198</v>
      </c>
      <c r="AM5" t="s">
        <v>58</v>
      </c>
      <c r="AN5" t="s">
        <v>276</v>
      </c>
      <c r="AO5" t="s">
        <v>285</v>
      </c>
      <c r="AP5" t="s">
        <v>224</v>
      </c>
      <c r="AQ5" t="s">
        <v>244</v>
      </c>
      <c r="AR5" t="s">
        <v>286</v>
      </c>
      <c r="AS5" t="s">
        <v>225</v>
      </c>
    </row>
    <row r="6" spans="1:45" x14ac:dyDescent="0.2">
      <c r="A6" t="s">
        <v>508</v>
      </c>
      <c r="B6" t="s">
        <v>548</v>
      </c>
      <c r="C6" t="s">
        <v>58</v>
      </c>
      <c r="D6" t="s">
        <v>173</v>
      </c>
      <c r="E6" t="s">
        <v>58</v>
      </c>
      <c r="F6" t="s">
        <v>208</v>
      </c>
      <c r="G6" t="s">
        <v>218</v>
      </c>
      <c r="H6" t="s">
        <v>208</v>
      </c>
      <c r="I6" t="s">
        <v>327</v>
      </c>
      <c r="J6" t="s">
        <v>179</v>
      </c>
      <c r="K6" t="s">
        <v>209</v>
      </c>
      <c r="L6" t="s">
        <v>58</v>
      </c>
      <c r="M6" t="s">
        <v>415</v>
      </c>
      <c r="N6" t="s">
        <v>290</v>
      </c>
      <c r="O6" t="s">
        <v>290</v>
      </c>
      <c r="P6" t="s">
        <v>308</v>
      </c>
      <c r="Q6" t="s">
        <v>214</v>
      </c>
      <c r="R6" t="s">
        <v>253</v>
      </c>
      <c r="S6" t="s">
        <v>179</v>
      </c>
      <c r="T6" t="s">
        <v>290</v>
      </c>
      <c r="U6" t="s">
        <v>344</v>
      </c>
      <c r="V6" t="s">
        <v>225</v>
      </c>
      <c r="W6" t="s">
        <v>192</v>
      </c>
      <c r="X6" t="s">
        <v>351</v>
      </c>
      <c r="Y6" t="s">
        <v>310</v>
      </c>
      <c r="Z6" t="s">
        <v>299</v>
      </c>
      <c r="AA6" t="s">
        <v>274</v>
      </c>
      <c r="AB6" t="s">
        <v>179</v>
      </c>
      <c r="AC6" t="s">
        <v>179</v>
      </c>
      <c r="AD6" t="s">
        <v>404</v>
      </c>
      <c r="AE6" t="s">
        <v>177</v>
      </c>
      <c r="AF6" t="s">
        <v>197</v>
      </c>
      <c r="AG6" t="s">
        <v>198</v>
      </c>
      <c r="AH6" t="s">
        <v>58</v>
      </c>
      <c r="AI6" t="s">
        <v>208</v>
      </c>
      <c r="AJ6" t="s">
        <v>208</v>
      </c>
      <c r="AK6" t="s">
        <v>58</v>
      </c>
      <c r="AL6" t="s">
        <v>200</v>
      </c>
      <c r="AM6" t="s">
        <v>58</v>
      </c>
      <c r="AN6">
        <v>0</v>
      </c>
      <c r="AO6" t="s">
        <v>209</v>
      </c>
      <c r="AP6" t="s">
        <v>58</v>
      </c>
      <c r="AQ6" t="s">
        <v>209</v>
      </c>
      <c r="AR6">
        <v>3</v>
      </c>
      <c r="AS6" t="s">
        <v>207</v>
      </c>
    </row>
    <row r="7" spans="1:45" x14ac:dyDescent="0.2">
      <c r="A7" t="s">
        <v>120</v>
      </c>
      <c r="B7" t="s">
        <v>66</v>
      </c>
      <c r="C7" t="s">
        <v>58</v>
      </c>
      <c r="D7" t="s">
        <v>287</v>
      </c>
      <c r="E7" t="s">
        <v>228</v>
      </c>
      <c r="F7" t="s">
        <v>208</v>
      </c>
      <c r="G7" t="s">
        <v>218</v>
      </c>
      <c r="H7" t="s">
        <v>208</v>
      </c>
      <c r="I7" t="s">
        <v>178</v>
      </c>
      <c r="J7" t="s">
        <v>288</v>
      </c>
      <c r="K7" t="s">
        <v>289</v>
      </c>
      <c r="L7" t="s">
        <v>181</v>
      </c>
      <c r="M7" t="s">
        <v>208</v>
      </c>
      <c r="N7" t="s">
        <v>290</v>
      </c>
      <c r="O7" t="s">
        <v>189</v>
      </c>
      <c r="P7" t="s">
        <v>213</v>
      </c>
      <c r="Q7" t="s">
        <v>235</v>
      </c>
      <c r="R7" t="s">
        <v>188</v>
      </c>
      <c r="S7" t="s">
        <v>179</v>
      </c>
      <c r="T7" t="s">
        <v>291</v>
      </c>
      <c r="U7" t="s">
        <v>292</v>
      </c>
      <c r="V7" t="s">
        <v>212</v>
      </c>
      <c r="W7" t="s">
        <v>192</v>
      </c>
      <c r="X7" t="s">
        <v>193</v>
      </c>
      <c r="Y7" t="s">
        <v>238</v>
      </c>
      <c r="Z7" t="s">
        <v>259</v>
      </c>
      <c r="AA7" t="s">
        <v>179</v>
      </c>
      <c r="AB7" t="s">
        <v>179</v>
      </c>
      <c r="AC7" t="s">
        <v>179</v>
      </c>
      <c r="AD7" t="s">
        <v>254</v>
      </c>
      <c r="AE7" t="s">
        <v>208</v>
      </c>
      <c r="AF7" t="s">
        <v>197</v>
      </c>
      <c r="AG7" t="s">
        <v>198</v>
      </c>
      <c r="AH7" t="s">
        <v>293</v>
      </c>
      <c r="AI7" t="s">
        <v>529</v>
      </c>
      <c r="AJ7" t="s">
        <v>208</v>
      </c>
      <c r="AK7" t="s">
        <v>199</v>
      </c>
      <c r="AL7" t="s">
        <v>294</v>
      </c>
      <c r="AM7" t="s">
        <v>58</v>
      </c>
      <c r="AN7" t="s">
        <v>202</v>
      </c>
      <c r="AO7" t="s">
        <v>209</v>
      </c>
      <c r="AP7" t="s">
        <v>243</v>
      </c>
      <c r="AQ7" t="s">
        <v>295</v>
      </c>
      <c r="AR7">
        <v>3</v>
      </c>
      <c r="AS7" t="s">
        <v>225</v>
      </c>
    </row>
    <row r="8" spans="1:45" x14ac:dyDescent="0.2">
      <c r="A8" t="s">
        <v>121</v>
      </c>
      <c r="C8" t="s">
        <v>296</v>
      </c>
      <c r="D8" t="s">
        <v>173</v>
      </c>
      <c r="E8" t="s">
        <v>257</v>
      </c>
      <c r="F8" t="s">
        <v>174</v>
      </c>
      <c r="G8" t="s">
        <v>218</v>
      </c>
      <c r="H8" t="s">
        <v>177</v>
      </c>
      <c r="I8" t="s">
        <v>178</v>
      </c>
      <c r="J8" t="s">
        <v>249</v>
      </c>
      <c r="K8" t="s">
        <v>297</v>
      </c>
      <c r="L8" t="s">
        <v>181</v>
      </c>
      <c r="M8" t="s">
        <v>210</v>
      </c>
      <c r="N8" t="s">
        <v>211</v>
      </c>
      <c r="O8" t="s">
        <v>189</v>
      </c>
      <c r="P8" t="s">
        <v>220</v>
      </c>
      <c r="Q8" t="s">
        <v>253</v>
      </c>
      <c r="R8" t="s">
        <v>253</v>
      </c>
      <c r="S8" t="s">
        <v>179</v>
      </c>
      <c r="T8" t="s">
        <v>271</v>
      </c>
      <c r="U8" t="s">
        <v>216</v>
      </c>
      <c r="V8" t="s">
        <v>237</v>
      </c>
      <c r="W8" t="s">
        <v>300</v>
      </c>
      <c r="X8" t="s">
        <v>193</v>
      </c>
      <c r="Y8" t="s">
        <v>238</v>
      </c>
      <c r="Z8" t="s">
        <v>328</v>
      </c>
      <c r="AA8" t="s">
        <v>274</v>
      </c>
      <c r="AB8" t="s">
        <v>179</v>
      </c>
      <c r="AC8" t="s">
        <v>179</v>
      </c>
      <c r="AD8" t="s">
        <v>179</v>
      </c>
      <c r="AE8" t="s">
        <v>306</v>
      </c>
      <c r="AF8" t="s">
        <v>197</v>
      </c>
      <c r="AG8" t="s">
        <v>198</v>
      </c>
      <c r="AH8" t="s">
        <v>301</v>
      </c>
      <c r="AI8" t="s">
        <v>177</v>
      </c>
      <c r="AJ8" t="s">
        <v>208</v>
      </c>
      <c r="AK8" t="s">
        <v>58</v>
      </c>
      <c r="AL8" t="s">
        <v>302</v>
      </c>
      <c r="AM8" t="s">
        <v>58</v>
      </c>
      <c r="AN8" t="s">
        <v>202</v>
      </c>
      <c r="AO8" t="s">
        <v>303</v>
      </c>
      <c r="AP8" t="s">
        <v>243</v>
      </c>
      <c r="AQ8" t="s">
        <v>205</v>
      </c>
      <c r="AR8" t="s">
        <v>286</v>
      </c>
      <c r="AS8" t="s">
        <v>225</v>
      </c>
    </row>
    <row r="9" spans="1:45" x14ac:dyDescent="0.2">
      <c r="A9" t="s">
        <v>122</v>
      </c>
      <c r="B9" t="s">
        <v>307</v>
      </c>
      <c r="C9" t="s">
        <v>58</v>
      </c>
      <c r="D9" t="s">
        <v>173</v>
      </c>
      <c r="E9" t="s">
        <v>224</v>
      </c>
      <c r="F9" t="s">
        <v>305</v>
      </c>
      <c r="G9" t="s">
        <v>175</v>
      </c>
      <c r="H9" t="s">
        <v>306</v>
      </c>
      <c r="I9" t="s">
        <v>178</v>
      </c>
      <c r="J9" t="s">
        <v>288</v>
      </c>
      <c r="K9" t="s">
        <v>180</v>
      </c>
      <c r="L9" t="s">
        <v>58</v>
      </c>
      <c r="M9" t="s">
        <v>431</v>
      </c>
      <c r="N9" t="s">
        <v>290</v>
      </c>
      <c r="O9" t="s">
        <v>291</v>
      </c>
      <c r="P9" t="s">
        <v>308</v>
      </c>
      <c r="Q9" t="s">
        <v>253</v>
      </c>
      <c r="R9" t="s">
        <v>215</v>
      </c>
      <c r="S9" t="s">
        <v>179</v>
      </c>
      <c r="T9" t="s">
        <v>225</v>
      </c>
      <c r="U9" t="s">
        <v>309</v>
      </c>
      <c r="V9" t="s">
        <v>237</v>
      </c>
      <c r="W9" t="s">
        <v>192</v>
      </c>
      <c r="X9" t="s">
        <v>193</v>
      </c>
      <c r="Y9" t="s">
        <v>310</v>
      </c>
      <c r="Z9" t="s">
        <v>259</v>
      </c>
      <c r="AA9" t="s">
        <v>179</v>
      </c>
      <c r="AB9" t="s">
        <v>179</v>
      </c>
      <c r="AC9" t="s">
        <v>179</v>
      </c>
      <c r="AD9"/>
      <c r="AE9" t="s">
        <v>306</v>
      </c>
      <c r="AF9" t="s">
        <v>197</v>
      </c>
      <c r="AG9" t="s">
        <v>198</v>
      </c>
      <c r="AH9" t="s">
        <v>218</v>
      </c>
      <c r="AI9" t="s">
        <v>306</v>
      </c>
      <c r="AJ9" t="s">
        <v>311</v>
      </c>
      <c r="AK9" t="s">
        <v>284</v>
      </c>
      <c r="AL9" t="s">
        <v>200</v>
      </c>
      <c r="AM9" t="s">
        <v>181</v>
      </c>
      <c r="AN9" t="s">
        <v>312</v>
      </c>
      <c r="AO9" t="s">
        <v>209</v>
      </c>
      <c r="AP9" t="s">
        <v>299</v>
      </c>
      <c r="AQ9" t="s">
        <v>295</v>
      </c>
      <c r="AR9">
        <v>2</v>
      </c>
      <c r="AS9" t="s">
        <v>225</v>
      </c>
    </row>
    <row r="10" spans="1:45" x14ac:dyDescent="0.2">
      <c r="A10" t="s">
        <v>75</v>
      </c>
      <c r="B10" t="s">
        <v>314</v>
      </c>
      <c r="C10" t="s">
        <v>304</v>
      </c>
      <c r="D10" t="s">
        <v>227</v>
      </c>
      <c r="E10" t="s">
        <v>224</v>
      </c>
      <c r="F10" t="s">
        <v>313</v>
      </c>
      <c r="G10" t="s">
        <v>181</v>
      </c>
      <c r="H10" t="s">
        <v>306</v>
      </c>
      <c r="I10" t="s">
        <v>178</v>
      </c>
      <c r="J10" t="s">
        <v>315</v>
      </c>
      <c r="K10" t="s">
        <v>180</v>
      </c>
      <c r="L10" t="s">
        <v>181</v>
      </c>
      <c r="M10" t="s">
        <v>970</v>
      </c>
      <c r="N10" t="s">
        <v>183</v>
      </c>
      <c r="O10" t="s">
        <v>291</v>
      </c>
      <c r="P10" t="s">
        <v>220</v>
      </c>
      <c r="Q10" t="s">
        <v>404</v>
      </c>
      <c r="R10" t="s">
        <v>188</v>
      </c>
      <c r="S10" t="s">
        <v>316</v>
      </c>
      <c r="T10" t="s">
        <v>291</v>
      </c>
      <c r="U10" t="s">
        <v>216</v>
      </c>
      <c r="V10" t="s">
        <v>318</v>
      </c>
      <c r="W10" t="s">
        <v>192</v>
      </c>
      <c r="X10" t="s">
        <v>319</v>
      </c>
      <c r="Y10" t="s">
        <v>238</v>
      </c>
      <c r="Z10" t="s">
        <v>259</v>
      </c>
      <c r="AA10" t="s">
        <v>179</v>
      </c>
      <c r="AB10" t="s">
        <v>179</v>
      </c>
      <c r="AC10" t="s">
        <v>179</v>
      </c>
      <c r="AD10" t="s">
        <v>179</v>
      </c>
      <c r="AE10" t="s">
        <v>427</v>
      </c>
      <c r="AF10" t="s">
        <v>321</v>
      </c>
      <c r="AG10" t="s">
        <v>200</v>
      </c>
      <c r="AH10" t="s">
        <v>199</v>
      </c>
      <c r="AI10" t="s">
        <v>531</v>
      </c>
      <c r="AJ10" t="s">
        <v>322</v>
      </c>
      <c r="AK10" t="s">
        <v>199</v>
      </c>
      <c r="AL10" t="s">
        <v>200</v>
      </c>
      <c r="AM10" t="s">
        <v>58</v>
      </c>
      <c r="AN10" t="s">
        <v>202</v>
      </c>
      <c r="AO10" t="s">
        <v>323</v>
      </c>
      <c r="AP10" t="s">
        <v>324</v>
      </c>
      <c r="AQ10" t="s">
        <v>205</v>
      </c>
      <c r="AR10">
        <v>3</v>
      </c>
      <c r="AS10" t="s">
        <v>225</v>
      </c>
    </row>
    <row r="11" spans="1:45" s="1" customFormat="1" x14ac:dyDescent="0.2">
      <c r="A11" t="s">
        <v>123</v>
      </c>
      <c r="B11" t="s">
        <v>72</v>
      </c>
      <c r="C11" t="s">
        <v>325</v>
      </c>
      <c r="D11" t="s">
        <v>227</v>
      </c>
      <c r="E11" s="30">
        <v>44929</v>
      </c>
      <c r="F11" t="s">
        <v>208</v>
      </c>
      <c r="G11" t="s">
        <v>218</v>
      </c>
      <c r="H11" t="s">
        <v>177</v>
      </c>
      <c r="I11" t="s">
        <v>327</v>
      </c>
      <c r="J11" t="s">
        <v>179</v>
      </c>
      <c r="K11" t="s">
        <v>180</v>
      </c>
      <c r="L11" t="s">
        <v>218</v>
      </c>
      <c r="M11" t="s">
        <v>177</v>
      </c>
      <c r="N11" t="s">
        <v>183</v>
      </c>
      <c r="O11" t="s">
        <v>225</v>
      </c>
      <c r="P11" t="s">
        <v>328</v>
      </c>
      <c r="Q11" t="s">
        <v>404</v>
      </c>
      <c r="R11" t="s">
        <v>225</v>
      </c>
      <c r="S11" t="s">
        <v>179</v>
      </c>
      <c r="T11" t="s">
        <v>291</v>
      </c>
      <c r="U11" t="s">
        <v>330</v>
      </c>
      <c r="V11" t="s">
        <v>207</v>
      </c>
      <c r="W11" t="s">
        <v>192</v>
      </c>
      <c r="X11" t="s">
        <v>218</v>
      </c>
      <c r="Y11" t="s">
        <v>310</v>
      </c>
      <c r="Z11" t="s">
        <v>259</v>
      </c>
      <c r="AA11" t="s">
        <v>179</v>
      </c>
      <c r="AB11" t="s">
        <v>179</v>
      </c>
      <c r="AC11" t="s">
        <v>179</v>
      </c>
      <c r="AD11" t="s">
        <v>254</v>
      </c>
      <c r="AE11" t="s">
        <v>177</v>
      </c>
      <c r="AF11" t="s">
        <v>331</v>
      </c>
      <c r="AG11" t="s">
        <v>198</v>
      </c>
      <c r="AH11" t="s">
        <v>284</v>
      </c>
      <c r="AI11" t="s">
        <v>177</v>
      </c>
      <c r="AJ11" t="s">
        <v>208</v>
      </c>
      <c r="AK11" t="s">
        <v>199</v>
      </c>
      <c r="AL11" t="s">
        <v>265</v>
      </c>
      <c r="AM11" t="s">
        <v>58</v>
      </c>
      <c r="AN11" t="s">
        <v>332</v>
      </c>
      <c r="AO11" t="s">
        <v>333</v>
      </c>
      <c r="AP11" t="s">
        <v>299</v>
      </c>
      <c r="AQ11" t="s">
        <v>295</v>
      </c>
      <c r="AR11">
        <v>3</v>
      </c>
      <c r="AS11" t="s">
        <v>225</v>
      </c>
    </row>
    <row r="12" spans="1:45" x14ac:dyDescent="0.2">
      <c r="A12" t="s">
        <v>125</v>
      </c>
      <c r="B12" t="s">
        <v>548</v>
      </c>
      <c r="C12" t="s">
        <v>256</v>
      </c>
      <c r="D12" t="s">
        <v>227</v>
      </c>
      <c r="E12" t="s">
        <v>528</v>
      </c>
      <c r="F12" t="s">
        <v>208</v>
      </c>
      <c r="G12" t="s">
        <v>218</v>
      </c>
      <c r="H12" t="s">
        <v>177</v>
      </c>
      <c r="I12" t="s">
        <v>327</v>
      </c>
      <c r="J12" t="s">
        <v>179</v>
      </c>
      <c r="K12" t="s">
        <v>209</v>
      </c>
      <c r="L12" t="s">
        <v>175</v>
      </c>
      <c r="M12" t="s">
        <v>177</v>
      </c>
      <c r="N12" t="s">
        <v>211</v>
      </c>
      <c r="O12" t="s">
        <v>225</v>
      </c>
      <c r="P12" t="s">
        <v>213</v>
      </c>
      <c r="Q12" t="s">
        <v>214</v>
      </c>
      <c r="R12" t="s">
        <v>215</v>
      </c>
      <c r="S12" t="s">
        <v>179</v>
      </c>
      <c r="T12" t="s">
        <v>334</v>
      </c>
      <c r="U12" t="s">
        <v>216</v>
      </c>
      <c r="V12" t="s">
        <v>335</v>
      </c>
      <c r="W12" t="s">
        <v>192</v>
      </c>
      <c r="X12" t="s">
        <v>193</v>
      </c>
      <c r="Y12" t="s">
        <v>238</v>
      </c>
      <c r="Z12" t="s">
        <v>308</v>
      </c>
      <c r="AA12" t="s">
        <v>179</v>
      </c>
      <c r="AB12" t="s">
        <v>179</v>
      </c>
      <c r="AC12" t="s">
        <v>179</v>
      </c>
      <c r="AD12" t="s">
        <v>254</v>
      </c>
      <c r="AE12" t="s">
        <v>177</v>
      </c>
      <c r="AF12" t="s">
        <v>197</v>
      </c>
      <c r="AG12" t="s">
        <v>200</v>
      </c>
      <c r="AH12" t="s">
        <v>336</v>
      </c>
      <c r="AI12" t="s">
        <v>208</v>
      </c>
      <c r="AJ12" t="s">
        <v>208</v>
      </c>
      <c r="AK12" t="s">
        <v>284</v>
      </c>
      <c r="AL12" t="s">
        <v>200</v>
      </c>
      <c r="AM12" t="s">
        <v>58</v>
      </c>
      <c r="AN12" t="s">
        <v>337</v>
      </c>
      <c r="AO12" t="s">
        <v>323</v>
      </c>
      <c r="AP12" s="30">
        <v>44929</v>
      </c>
      <c r="AQ12" t="s">
        <v>209</v>
      </c>
      <c r="AR12">
        <v>3</v>
      </c>
      <c r="AS12" t="s">
        <v>225</v>
      </c>
    </row>
    <row r="13" spans="1:45" s="29" customFormat="1" x14ac:dyDescent="0.2">
      <c r="A13" t="s">
        <v>126</v>
      </c>
      <c r="B13" t="s">
        <v>73</v>
      </c>
      <c r="C13" t="s">
        <v>354</v>
      </c>
      <c r="D13" t="s">
        <v>173</v>
      </c>
      <c r="E13" t="s">
        <v>218</v>
      </c>
      <c r="F13" t="s">
        <v>208</v>
      </c>
      <c r="G13" t="s">
        <v>218</v>
      </c>
      <c r="H13" t="s">
        <v>177</v>
      </c>
      <c r="I13" t="s">
        <v>178</v>
      </c>
      <c r="J13" t="s">
        <v>179</v>
      </c>
      <c r="K13" t="s">
        <v>297</v>
      </c>
      <c r="L13" t="s">
        <v>175</v>
      </c>
      <c r="M13" t="s">
        <v>177</v>
      </c>
      <c r="N13" t="s">
        <v>211</v>
      </c>
      <c r="O13" t="s">
        <v>212</v>
      </c>
      <c r="P13" t="s">
        <v>299</v>
      </c>
      <c r="Q13" t="s">
        <v>214</v>
      </c>
      <c r="R13" t="s">
        <v>188</v>
      </c>
      <c r="S13" t="s">
        <v>179</v>
      </c>
      <c r="T13" t="s">
        <v>225</v>
      </c>
      <c r="U13" t="s">
        <v>344</v>
      </c>
      <c r="V13" t="s">
        <v>335</v>
      </c>
      <c r="W13" t="s">
        <v>192</v>
      </c>
      <c r="X13" t="s">
        <v>206</v>
      </c>
      <c r="Y13" t="s">
        <v>194</v>
      </c>
      <c r="Z13" t="s">
        <v>299</v>
      </c>
      <c r="AA13" t="s">
        <v>179</v>
      </c>
      <c r="AB13" t="s">
        <v>179</v>
      </c>
      <c r="AC13" t="s">
        <v>179</v>
      </c>
      <c r="AD13" t="s">
        <v>254</v>
      </c>
      <c r="AE13" t="s">
        <v>177</v>
      </c>
      <c r="AF13" t="s">
        <v>222</v>
      </c>
      <c r="AG13" t="s">
        <v>198</v>
      </c>
      <c r="AH13" t="s">
        <v>284</v>
      </c>
      <c r="AI13" t="s">
        <v>177</v>
      </c>
      <c r="AJ13" t="s">
        <v>208</v>
      </c>
      <c r="AK13" t="s">
        <v>218</v>
      </c>
      <c r="AL13" t="s">
        <v>200</v>
      </c>
      <c r="AM13" t="s">
        <v>58</v>
      </c>
      <c r="AN13" s="25" t="s">
        <v>345</v>
      </c>
      <c r="AO13" t="s">
        <v>209</v>
      </c>
      <c r="AP13" t="s">
        <v>243</v>
      </c>
      <c r="AQ13" t="s">
        <v>205</v>
      </c>
      <c r="AR13">
        <v>3</v>
      </c>
      <c r="AS13" t="s">
        <v>245</v>
      </c>
    </row>
    <row r="14" spans="1:45" x14ac:dyDescent="0.2">
      <c r="A14" t="s">
        <v>127</v>
      </c>
      <c r="B14" t="s">
        <v>307</v>
      </c>
      <c r="C14" t="s">
        <v>346</v>
      </c>
      <c r="D14" t="s">
        <v>227</v>
      </c>
      <c r="E14" t="s">
        <v>204</v>
      </c>
      <c r="F14" t="s">
        <v>208</v>
      </c>
      <c r="G14" t="s">
        <v>218</v>
      </c>
      <c r="H14" t="s">
        <v>177</v>
      </c>
      <c r="I14" t="s">
        <v>178</v>
      </c>
      <c r="J14" t="s">
        <v>179</v>
      </c>
      <c r="K14" t="s">
        <v>289</v>
      </c>
      <c r="L14" t="s">
        <v>218</v>
      </c>
      <c r="M14" t="s">
        <v>177</v>
      </c>
      <c r="N14" t="s">
        <v>211</v>
      </c>
      <c r="O14" t="s">
        <v>347</v>
      </c>
      <c r="P14" t="s">
        <v>259</v>
      </c>
      <c r="Q14" t="s">
        <v>329</v>
      </c>
      <c r="R14" t="s">
        <v>188</v>
      </c>
      <c r="S14" t="s">
        <v>179</v>
      </c>
      <c r="T14" t="s">
        <v>189</v>
      </c>
      <c r="U14" t="s">
        <v>216</v>
      </c>
      <c r="V14" t="s">
        <v>217</v>
      </c>
      <c r="W14" t="s">
        <v>192</v>
      </c>
      <c r="X14" t="s">
        <v>218</v>
      </c>
      <c r="Y14" t="s">
        <v>238</v>
      </c>
      <c r="Z14" t="s">
        <v>213</v>
      </c>
      <c r="AA14" t="s">
        <v>179</v>
      </c>
      <c r="AB14" t="s">
        <v>179</v>
      </c>
      <c r="AC14" t="s">
        <v>348</v>
      </c>
      <c r="AD14" t="s">
        <v>254</v>
      </c>
      <c r="AE14" t="s">
        <v>306</v>
      </c>
      <c r="AF14" t="s">
        <v>255</v>
      </c>
      <c r="AG14" t="s">
        <v>265</v>
      </c>
      <c r="AH14" t="s">
        <v>293</v>
      </c>
      <c r="AI14" t="s">
        <v>177</v>
      </c>
      <c r="AJ14" t="s">
        <v>208</v>
      </c>
      <c r="AK14" t="s">
        <v>284</v>
      </c>
      <c r="AL14" t="s">
        <v>265</v>
      </c>
      <c r="AM14" t="s">
        <v>58</v>
      </c>
      <c r="AN14" t="s">
        <v>202</v>
      </c>
      <c r="AO14" t="s">
        <v>323</v>
      </c>
      <c r="AP14" t="s">
        <v>224</v>
      </c>
      <c r="AQ14" t="s">
        <v>205</v>
      </c>
      <c r="AR14">
        <v>3</v>
      </c>
      <c r="AS14" t="s">
        <v>225</v>
      </c>
    </row>
    <row r="15" spans="1:45" x14ac:dyDescent="0.2">
      <c r="A15" t="s">
        <v>76</v>
      </c>
      <c r="B15" t="s">
        <v>68</v>
      </c>
      <c r="C15" t="s">
        <v>172</v>
      </c>
      <c r="D15" t="s">
        <v>173</v>
      </c>
      <c r="E15" t="s">
        <v>58</v>
      </c>
      <c r="F15" t="s">
        <v>174</v>
      </c>
      <c r="G15" t="s">
        <v>175</v>
      </c>
      <c r="H15" t="s">
        <v>177</v>
      </c>
      <c r="I15" t="s">
        <v>178</v>
      </c>
      <c r="J15" t="s">
        <v>179</v>
      </c>
      <c r="K15" t="s">
        <v>180</v>
      </c>
      <c r="L15" t="s">
        <v>181</v>
      </c>
      <c r="M15" t="s">
        <v>182</v>
      </c>
      <c r="N15" t="s">
        <v>183</v>
      </c>
      <c r="O15" t="s">
        <v>184</v>
      </c>
      <c r="P15" t="s">
        <v>186</v>
      </c>
      <c r="Q15" t="s">
        <v>187</v>
      </c>
      <c r="R15" t="s">
        <v>188</v>
      </c>
      <c r="S15" t="s">
        <v>179</v>
      </c>
      <c r="T15" t="s">
        <v>189</v>
      </c>
      <c r="U15" t="s">
        <v>190</v>
      </c>
      <c r="V15" t="s">
        <v>191</v>
      </c>
      <c r="W15" t="s">
        <v>192</v>
      </c>
      <c r="X15" t="s">
        <v>193</v>
      </c>
      <c r="Y15" t="s">
        <v>194</v>
      </c>
      <c r="Z15" t="s">
        <v>195</v>
      </c>
      <c r="AA15" t="s">
        <v>179</v>
      </c>
      <c r="AB15" t="s">
        <v>179</v>
      </c>
      <c r="AC15" t="s">
        <v>179</v>
      </c>
      <c r="AD15" t="s">
        <v>196</v>
      </c>
      <c r="AE15" t="s">
        <v>306</v>
      </c>
      <c r="AF15" t="s">
        <v>197</v>
      </c>
      <c r="AG15" t="s">
        <v>198</v>
      </c>
      <c r="AH15" t="s">
        <v>199</v>
      </c>
      <c r="AI15" t="s">
        <v>177</v>
      </c>
      <c r="AJ15" t="s">
        <v>373</v>
      </c>
      <c r="AK15" t="s">
        <v>58</v>
      </c>
      <c r="AL15" t="s">
        <v>200</v>
      </c>
      <c r="AM15" t="s">
        <v>58</v>
      </c>
      <c r="AN15" t="s">
        <v>202</v>
      </c>
      <c r="AO15" t="s">
        <v>203</v>
      </c>
      <c r="AQ15" t="s">
        <v>205</v>
      </c>
      <c r="AR15">
        <v>3</v>
      </c>
      <c r="AS15" t="s">
        <v>207</v>
      </c>
    </row>
    <row r="16" spans="1:45" x14ac:dyDescent="0.2">
      <c r="A16" t="s">
        <v>129</v>
      </c>
      <c r="B16" t="s">
        <v>231</v>
      </c>
      <c r="C16" t="s">
        <v>172</v>
      </c>
      <c r="D16" t="s">
        <v>227</v>
      </c>
      <c r="E16" t="s">
        <v>257</v>
      </c>
      <c r="F16" t="s">
        <v>349</v>
      </c>
      <c r="G16" t="s">
        <v>218</v>
      </c>
      <c r="H16" t="s">
        <v>177</v>
      </c>
      <c r="I16" t="s">
        <v>327</v>
      </c>
      <c r="J16" t="s">
        <v>249</v>
      </c>
      <c r="K16" t="s">
        <v>269</v>
      </c>
      <c r="L16" t="s">
        <v>218</v>
      </c>
      <c r="M16" t="s">
        <v>177</v>
      </c>
      <c r="N16" t="s">
        <v>298</v>
      </c>
      <c r="O16" t="s">
        <v>350</v>
      </c>
      <c r="P16" t="s">
        <v>299</v>
      </c>
      <c r="Q16" t="s">
        <v>329</v>
      </c>
      <c r="R16" t="s">
        <v>215</v>
      </c>
      <c r="S16" t="s">
        <v>179</v>
      </c>
      <c r="T16" t="s">
        <v>260</v>
      </c>
      <c r="U16" t="s">
        <v>216</v>
      </c>
      <c r="V16" t="s">
        <v>217</v>
      </c>
      <c r="W16" t="s">
        <v>192</v>
      </c>
      <c r="X16" t="s">
        <v>351</v>
      </c>
      <c r="Y16" t="s">
        <v>238</v>
      </c>
      <c r="Z16" t="s">
        <v>299</v>
      </c>
      <c r="AA16" t="s">
        <v>274</v>
      </c>
      <c r="AB16" t="s">
        <v>179</v>
      </c>
      <c r="AC16" t="s">
        <v>179</v>
      </c>
      <c r="AD16" t="s">
        <v>254</v>
      </c>
      <c r="AE16" t="s">
        <v>177</v>
      </c>
      <c r="AF16" t="s">
        <v>222</v>
      </c>
      <c r="AG16" t="s">
        <v>198</v>
      </c>
      <c r="AH16" t="s">
        <v>284</v>
      </c>
      <c r="AI16" t="s">
        <v>177</v>
      </c>
      <c r="AJ16" t="s">
        <v>208</v>
      </c>
      <c r="AK16" t="s">
        <v>336</v>
      </c>
      <c r="AL16" t="s">
        <v>198</v>
      </c>
      <c r="AM16" t="s">
        <v>58</v>
      </c>
      <c r="AN16" t="s">
        <v>202</v>
      </c>
      <c r="AO16" t="s">
        <v>352</v>
      </c>
      <c r="AP16" t="s">
        <v>204</v>
      </c>
      <c r="AQ16" t="s">
        <v>205</v>
      </c>
      <c r="AR16">
        <v>2</v>
      </c>
      <c r="AS16" t="s">
        <v>225</v>
      </c>
    </row>
    <row r="17" spans="1:45" x14ac:dyDescent="0.2">
      <c r="A17" t="s">
        <v>79</v>
      </c>
      <c r="B17" t="s">
        <v>248</v>
      </c>
      <c r="C17" t="s">
        <v>246</v>
      </c>
      <c r="D17" t="s">
        <v>227</v>
      </c>
      <c r="E17" t="s">
        <v>247</v>
      </c>
      <c r="F17" t="s">
        <v>208</v>
      </c>
      <c r="G17" t="s">
        <v>218</v>
      </c>
      <c r="H17" t="s">
        <v>177</v>
      </c>
      <c r="I17" t="s">
        <v>178</v>
      </c>
      <c r="J17" t="s">
        <v>249</v>
      </c>
      <c r="K17" t="s">
        <v>180</v>
      </c>
      <c r="L17" t="s">
        <v>181</v>
      </c>
      <c r="M17" t="s">
        <v>177</v>
      </c>
      <c r="N17" t="s">
        <v>234</v>
      </c>
      <c r="O17" t="s">
        <v>212</v>
      </c>
      <c r="P17" t="s">
        <v>213</v>
      </c>
      <c r="Q17" t="s">
        <v>214</v>
      </c>
      <c r="R17" t="s">
        <v>250</v>
      </c>
      <c r="S17" t="s">
        <v>179</v>
      </c>
      <c r="T17" t="s">
        <v>225</v>
      </c>
      <c r="U17" t="s">
        <v>216</v>
      </c>
      <c r="V17" t="s">
        <v>251</v>
      </c>
      <c r="W17" t="s">
        <v>192</v>
      </c>
      <c r="X17" t="s">
        <v>218</v>
      </c>
      <c r="Y17" t="s">
        <v>238</v>
      </c>
      <c r="Z17" t="s">
        <v>195</v>
      </c>
      <c r="AA17" t="s">
        <v>179</v>
      </c>
      <c r="AB17" t="s">
        <v>252</v>
      </c>
      <c r="AC17" t="s">
        <v>253</v>
      </c>
      <c r="AD17" t="s">
        <v>254</v>
      </c>
      <c r="AE17" t="s">
        <v>177</v>
      </c>
      <c r="AF17" t="s">
        <v>255</v>
      </c>
      <c r="AG17" t="s">
        <v>198</v>
      </c>
      <c r="AH17" t="s">
        <v>199</v>
      </c>
      <c r="AI17" t="s">
        <v>177</v>
      </c>
      <c r="AJ17" t="s">
        <v>208</v>
      </c>
      <c r="AK17" t="s">
        <v>58</v>
      </c>
      <c r="AL17" t="s">
        <v>200</v>
      </c>
      <c r="AM17" t="s">
        <v>181</v>
      </c>
      <c r="AN17" t="s">
        <v>241</v>
      </c>
      <c r="AO17" t="s">
        <v>242</v>
      </c>
      <c r="AP17" t="s">
        <v>243</v>
      </c>
      <c r="AQ17" t="s">
        <v>244</v>
      </c>
      <c r="AR17">
        <v>3</v>
      </c>
      <c r="AS17" t="s">
        <v>245</v>
      </c>
    </row>
    <row r="18" spans="1:45" x14ac:dyDescent="0.2">
      <c r="A18" t="s">
        <v>130</v>
      </c>
      <c r="B18" t="s">
        <v>353</v>
      </c>
      <c r="C18" t="s">
        <v>354</v>
      </c>
      <c r="D18" t="s">
        <v>287</v>
      </c>
      <c r="E18" t="s">
        <v>243</v>
      </c>
      <c r="F18" t="s">
        <v>208</v>
      </c>
      <c r="G18" t="s">
        <v>218</v>
      </c>
      <c r="H18" t="s">
        <v>177</v>
      </c>
      <c r="I18" t="s">
        <v>327</v>
      </c>
      <c r="J18" t="s">
        <v>179</v>
      </c>
      <c r="K18" t="s">
        <v>209</v>
      </c>
      <c r="L18" t="s">
        <v>58</v>
      </c>
      <c r="M18" t="s">
        <v>177</v>
      </c>
      <c r="N18" t="s">
        <v>211</v>
      </c>
      <c r="O18" t="s">
        <v>189</v>
      </c>
      <c r="P18" t="s">
        <v>308</v>
      </c>
      <c r="Q18" t="s">
        <v>253</v>
      </c>
      <c r="R18" t="s">
        <v>253</v>
      </c>
      <c r="S18" t="s">
        <v>179</v>
      </c>
      <c r="T18" t="s">
        <v>225</v>
      </c>
      <c r="U18" t="s">
        <v>216</v>
      </c>
      <c r="V18" t="s">
        <v>335</v>
      </c>
      <c r="W18" t="s">
        <v>192</v>
      </c>
      <c r="X18" t="s">
        <v>218</v>
      </c>
      <c r="Y18" t="s">
        <v>355</v>
      </c>
      <c r="Z18" t="s">
        <v>328</v>
      </c>
      <c r="AA18" t="s">
        <v>179</v>
      </c>
      <c r="AB18" t="s">
        <v>179</v>
      </c>
      <c r="AC18" t="s">
        <v>179</v>
      </c>
      <c r="AD18" t="s">
        <v>221</v>
      </c>
      <c r="AE18" t="s">
        <v>208</v>
      </c>
      <c r="AF18" t="s">
        <v>275</v>
      </c>
      <c r="AG18" t="s">
        <v>198</v>
      </c>
      <c r="AH18" t="s">
        <v>218</v>
      </c>
      <c r="AI18" t="s">
        <v>177</v>
      </c>
      <c r="AJ18" t="s">
        <v>208</v>
      </c>
      <c r="AK18" t="s">
        <v>218</v>
      </c>
      <c r="AL18" t="s">
        <v>200</v>
      </c>
      <c r="AM18" t="s">
        <v>58</v>
      </c>
      <c r="AN18" t="s">
        <v>337</v>
      </c>
      <c r="AO18" t="s">
        <v>333</v>
      </c>
      <c r="AP18" t="s">
        <v>299</v>
      </c>
      <c r="AQ18" t="s">
        <v>244</v>
      </c>
      <c r="AR18">
        <v>3</v>
      </c>
      <c r="AS18" t="s">
        <v>225</v>
      </c>
    </row>
    <row r="19" spans="1:45" x14ac:dyDescent="0.2">
      <c r="A19" t="s">
        <v>131</v>
      </c>
      <c r="B19" t="s">
        <v>67</v>
      </c>
      <c r="C19" t="s">
        <v>325</v>
      </c>
      <c r="D19" t="s">
        <v>227</v>
      </c>
      <c r="E19" t="s">
        <v>204</v>
      </c>
      <c r="F19" t="s">
        <v>208</v>
      </c>
      <c r="G19" t="s">
        <v>218</v>
      </c>
      <c r="H19" t="s">
        <v>177</v>
      </c>
      <c r="I19" t="s">
        <v>178</v>
      </c>
      <c r="J19" t="s">
        <v>179</v>
      </c>
      <c r="K19" t="s">
        <v>180</v>
      </c>
      <c r="L19" t="s">
        <v>181</v>
      </c>
      <c r="M19" t="s">
        <v>177</v>
      </c>
      <c r="N19" t="s">
        <v>298</v>
      </c>
      <c r="O19" t="s">
        <v>347</v>
      </c>
      <c r="P19" t="s">
        <v>220</v>
      </c>
      <c r="Q19" t="s">
        <v>272</v>
      </c>
      <c r="R19" t="s">
        <v>188</v>
      </c>
      <c r="S19" t="s">
        <v>179</v>
      </c>
      <c r="T19" t="s">
        <v>225</v>
      </c>
      <c r="U19" t="s">
        <v>216</v>
      </c>
      <c r="V19" t="s">
        <v>217</v>
      </c>
      <c r="W19" t="s">
        <v>192</v>
      </c>
      <c r="X19" t="s">
        <v>193</v>
      </c>
      <c r="Y19" t="s">
        <v>194</v>
      </c>
      <c r="Z19" t="s">
        <v>213</v>
      </c>
      <c r="AA19" t="s">
        <v>179</v>
      </c>
      <c r="AB19" t="s">
        <v>179</v>
      </c>
      <c r="AC19" t="s">
        <v>179</v>
      </c>
      <c r="AD19" t="s">
        <v>254</v>
      </c>
      <c r="AE19" t="s">
        <v>177</v>
      </c>
      <c r="AF19" t="s">
        <v>197</v>
      </c>
      <c r="AG19" t="s">
        <v>198</v>
      </c>
      <c r="AH19" t="s">
        <v>199</v>
      </c>
      <c r="AI19" t="s">
        <v>177</v>
      </c>
      <c r="AJ19" t="s">
        <v>208</v>
      </c>
      <c r="AK19" t="s">
        <v>218</v>
      </c>
      <c r="AL19" t="s">
        <v>200</v>
      </c>
      <c r="AM19" t="s">
        <v>356</v>
      </c>
      <c r="AN19" t="s">
        <v>357</v>
      </c>
      <c r="AO19" t="s">
        <v>323</v>
      </c>
      <c r="AP19" t="s">
        <v>204</v>
      </c>
      <c r="AQ19" t="s">
        <v>205</v>
      </c>
      <c r="AR19">
        <v>3</v>
      </c>
      <c r="AS19" t="s">
        <v>225</v>
      </c>
    </row>
    <row r="20" spans="1:45" x14ac:dyDescent="0.2">
      <c r="A20" t="s">
        <v>132</v>
      </c>
      <c r="B20" t="s">
        <v>360</v>
      </c>
      <c r="C20" t="s">
        <v>267</v>
      </c>
      <c r="D20" t="s">
        <v>227</v>
      </c>
      <c r="E20" t="s">
        <v>358</v>
      </c>
      <c r="F20" t="s">
        <v>322</v>
      </c>
      <c r="G20" t="s">
        <v>175</v>
      </c>
      <c r="H20" t="s">
        <v>359</v>
      </c>
      <c r="I20" t="s">
        <v>178</v>
      </c>
      <c r="J20" t="s">
        <v>361</v>
      </c>
      <c r="K20" t="s">
        <v>180</v>
      </c>
      <c r="L20" t="s">
        <v>181</v>
      </c>
      <c r="M20" t="s">
        <v>210</v>
      </c>
      <c r="N20" t="s">
        <v>298</v>
      </c>
      <c r="O20" t="s">
        <v>362</v>
      </c>
      <c r="P20" t="s">
        <v>220</v>
      </c>
      <c r="Q20" t="s">
        <v>272</v>
      </c>
      <c r="R20" t="s">
        <v>363</v>
      </c>
      <c r="S20" t="s">
        <v>179</v>
      </c>
      <c r="T20" t="s">
        <v>189</v>
      </c>
      <c r="U20" t="s">
        <v>364</v>
      </c>
      <c r="V20" t="s">
        <v>191</v>
      </c>
      <c r="W20" t="s">
        <v>192</v>
      </c>
      <c r="X20" t="s">
        <v>319</v>
      </c>
      <c r="Y20" t="s">
        <v>194</v>
      </c>
      <c r="Z20" t="s">
        <v>195</v>
      </c>
      <c r="AA20" t="s">
        <v>179</v>
      </c>
      <c r="AB20" t="s">
        <v>179</v>
      </c>
      <c r="AC20" t="s">
        <v>179</v>
      </c>
      <c r="AD20" t="s">
        <v>240</v>
      </c>
      <c r="AE20" t="s">
        <v>427</v>
      </c>
      <c r="AF20" t="s">
        <v>197</v>
      </c>
      <c r="AG20" t="s">
        <v>198</v>
      </c>
      <c r="AH20" t="s">
        <v>284</v>
      </c>
      <c r="AI20" t="s">
        <v>532</v>
      </c>
      <c r="AJ20" t="s">
        <v>322</v>
      </c>
      <c r="AK20" t="s">
        <v>58</v>
      </c>
      <c r="AL20" t="s">
        <v>200</v>
      </c>
      <c r="AM20" t="s">
        <v>58</v>
      </c>
      <c r="AN20" t="s">
        <v>202</v>
      </c>
      <c r="AO20" t="s">
        <v>352</v>
      </c>
      <c r="AP20" t="s">
        <v>266</v>
      </c>
      <c r="AQ20" t="s">
        <v>244</v>
      </c>
      <c r="AR20">
        <v>3</v>
      </c>
      <c r="AS20" t="s">
        <v>225</v>
      </c>
    </row>
    <row r="21" spans="1:45" x14ac:dyDescent="0.2">
      <c r="A21" t="s">
        <v>78</v>
      </c>
      <c r="C21" t="s">
        <v>172</v>
      </c>
      <c r="D21" t="s">
        <v>173</v>
      </c>
      <c r="E21" t="s">
        <v>58</v>
      </c>
      <c r="F21" t="s">
        <v>208</v>
      </c>
      <c r="G21" t="s">
        <v>175</v>
      </c>
      <c r="H21" t="s">
        <v>177</v>
      </c>
      <c r="I21" t="s">
        <v>178</v>
      </c>
      <c r="J21" t="s">
        <v>179</v>
      </c>
      <c r="K21" t="s">
        <v>209</v>
      </c>
      <c r="L21" t="s">
        <v>181</v>
      </c>
      <c r="M21" t="s">
        <v>210</v>
      </c>
      <c r="N21" t="s">
        <v>211</v>
      </c>
      <c r="O21" t="s">
        <v>212</v>
      </c>
      <c r="P21" t="s">
        <v>213</v>
      </c>
      <c r="Q21" t="s">
        <v>214</v>
      </c>
      <c r="R21" t="s">
        <v>250</v>
      </c>
      <c r="S21" t="s">
        <v>179</v>
      </c>
      <c r="T21" t="s">
        <v>189</v>
      </c>
      <c r="U21" t="s">
        <v>216</v>
      </c>
      <c r="V21" t="s">
        <v>217</v>
      </c>
      <c r="W21" t="s">
        <v>192</v>
      </c>
      <c r="X21" t="s">
        <v>218</v>
      </c>
      <c r="Y21" t="s">
        <v>219</v>
      </c>
      <c r="Z21" t="s">
        <v>220</v>
      </c>
      <c r="AA21" t="s">
        <v>179</v>
      </c>
      <c r="AB21" t="s">
        <v>179</v>
      </c>
      <c r="AC21" t="s">
        <v>179</v>
      </c>
      <c r="AD21" t="s">
        <v>221</v>
      </c>
      <c r="AE21" t="s">
        <v>306</v>
      </c>
      <c r="AF21" t="s">
        <v>222</v>
      </c>
      <c r="AG21" t="s">
        <v>198</v>
      </c>
      <c r="AH21" t="s">
        <v>199</v>
      </c>
      <c r="AI21" t="s">
        <v>223</v>
      </c>
      <c r="AJ21" t="s">
        <v>208</v>
      </c>
      <c r="AK21" t="s">
        <v>58</v>
      </c>
      <c r="AL21" t="s">
        <v>198</v>
      </c>
      <c r="AM21" t="s">
        <v>58</v>
      </c>
      <c r="AN21" t="s">
        <v>202</v>
      </c>
      <c r="AO21" t="s">
        <v>203</v>
      </c>
      <c r="AP21" t="s">
        <v>224</v>
      </c>
      <c r="AQ21" t="s">
        <v>209</v>
      </c>
      <c r="AR21">
        <v>3</v>
      </c>
      <c r="AS21" t="s">
        <v>207</v>
      </c>
    </row>
    <row r="22" spans="1:45" x14ac:dyDescent="0.2">
      <c r="A22" t="s">
        <v>133</v>
      </c>
      <c r="B22" t="s">
        <v>369</v>
      </c>
      <c r="C22" t="s">
        <v>365</v>
      </c>
      <c r="D22" t="s">
        <v>173</v>
      </c>
      <c r="E22" t="s">
        <v>204</v>
      </c>
      <c r="F22" t="s">
        <v>322</v>
      </c>
      <c r="G22" t="s">
        <v>175</v>
      </c>
      <c r="H22" t="s">
        <v>306</v>
      </c>
      <c r="I22" t="s">
        <v>178</v>
      </c>
      <c r="J22" t="s">
        <v>249</v>
      </c>
      <c r="K22" t="s">
        <v>180</v>
      </c>
      <c r="L22" t="s">
        <v>181</v>
      </c>
      <c r="M22" t="s">
        <v>210</v>
      </c>
      <c r="N22" t="s">
        <v>298</v>
      </c>
      <c r="O22" t="s">
        <v>366</v>
      </c>
      <c r="P22" t="s">
        <v>213</v>
      </c>
      <c r="Q22" t="s">
        <v>253</v>
      </c>
      <c r="R22" t="s">
        <v>250</v>
      </c>
      <c r="S22" t="s">
        <v>179</v>
      </c>
      <c r="T22" t="s">
        <v>189</v>
      </c>
      <c r="U22" t="s">
        <v>317</v>
      </c>
      <c r="V22" t="s">
        <v>191</v>
      </c>
      <c r="W22" t="s">
        <v>192</v>
      </c>
      <c r="X22" t="s">
        <v>218</v>
      </c>
      <c r="Y22" t="s">
        <v>238</v>
      </c>
      <c r="Z22" t="s">
        <v>328</v>
      </c>
      <c r="AA22" t="s">
        <v>179</v>
      </c>
      <c r="AB22" t="s">
        <v>179</v>
      </c>
      <c r="AC22" t="s">
        <v>179</v>
      </c>
      <c r="AD22" t="s">
        <v>179</v>
      </c>
      <c r="AE22" t="s">
        <v>306</v>
      </c>
      <c r="AF22" t="s">
        <v>197</v>
      </c>
      <c r="AG22" t="s">
        <v>265</v>
      </c>
      <c r="AH22" t="s">
        <v>199</v>
      </c>
      <c r="AI22" t="s">
        <v>531</v>
      </c>
      <c r="AJ22" t="s">
        <v>174</v>
      </c>
      <c r="AK22" t="s">
        <v>58</v>
      </c>
      <c r="AL22" t="s">
        <v>200</v>
      </c>
      <c r="AM22" t="s">
        <v>58</v>
      </c>
      <c r="AN22" t="s">
        <v>276</v>
      </c>
      <c r="AO22" t="s">
        <v>303</v>
      </c>
      <c r="AP22" t="s">
        <v>243</v>
      </c>
      <c r="AQ22" t="s">
        <v>244</v>
      </c>
      <c r="AR22">
        <v>3</v>
      </c>
      <c r="AS22" t="s">
        <v>225</v>
      </c>
    </row>
    <row r="23" spans="1:45" x14ac:dyDescent="0.2">
      <c r="A23" t="s">
        <v>117</v>
      </c>
      <c r="B23" t="s">
        <v>231</v>
      </c>
      <c r="C23" t="s">
        <v>346</v>
      </c>
      <c r="D23" t="s">
        <v>227</v>
      </c>
      <c r="E23" t="s">
        <v>228</v>
      </c>
      <c r="F23" t="s">
        <v>229</v>
      </c>
      <c r="G23" t="s">
        <v>175</v>
      </c>
      <c r="H23" t="s">
        <v>230</v>
      </c>
      <c r="I23" t="s">
        <v>178</v>
      </c>
      <c r="J23" t="s">
        <v>232</v>
      </c>
      <c r="K23" t="s">
        <v>233</v>
      </c>
      <c r="L23" t="s">
        <v>181</v>
      </c>
      <c r="M23" t="s">
        <v>210</v>
      </c>
      <c r="N23" t="s">
        <v>416</v>
      </c>
      <c r="O23" t="s">
        <v>258</v>
      </c>
      <c r="P23" t="s">
        <v>186</v>
      </c>
      <c r="Q23" t="s">
        <v>235</v>
      </c>
      <c r="R23" t="s">
        <v>236</v>
      </c>
      <c r="S23" t="s">
        <v>179</v>
      </c>
      <c r="T23" t="s">
        <v>189</v>
      </c>
      <c r="U23" t="s">
        <v>216</v>
      </c>
      <c r="V23" t="s">
        <v>237</v>
      </c>
      <c r="W23" t="s">
        <v>192</v>
      </c>
      <c r="X23" t="s">
        <v>193</v>
      </c>
      <c r="Y23" t="s">
        <v>238</v>
      </c>
      <c r="Z23" t="s">
        <v>239</v>
      </c>
      <c r="AA23" t="s">
        <v>179</v>
      </c>
      <c r="AB23" t="s">
        <v>179</v>
      </c>
      <c r="AC23" t="s">
        <v>179</v>
      </c>
      <c r="AD23" t="s">
        <v>240</v>
      </c>
      <c r="AE23" t="s">
        <v>306</v>
      </c>
      <c r="AF23" t="s">
        <v>197</v>
      </c>
      <c r="AG23" t="s">
        <v>198</v>
      </c>
      <c r="AH23" t="s">
        <v>199</v>
      </c>
      <c r="AI23" t="s">
        <v>531</v>
      </c>
      <c r="AJ23" t="s">
        <v>208</v>
      </c>
      <c r="AK23" t="s">
        <v>58</v>
      </c>
      <c r="AL23" t="s">
        <v>200</v>
      </c>
      <c r="AM23" t="s">
        <v>181</v>
      </c>
      <c r="AN23" t="s">
        <v>241</v>
      </c>
      <c r="AO23" t="s">
        <v>242</v>
      </c>
      <c r="AP23" t="s">
        <v>243</v>
      </c>
      <c r="AQ23" t="s">
        <v>244</v>
      </c>
      <c r="AR23">
        <v>3</v>
      </c>
      <c r="AS23" t="s">
        <v>245</v>
      </c>
    </row>
    <row r="24" spans="1:45" x14ac:dyDescent="0.2">
      <c r="A24" t="s">
        <v>134</v>
      </c>
      <c r="B24" t="s">
        <v>371</v>
      </c>
      <c r="C24" t="s">
        <v>256</v>
      </c>
      <c r="D24" t="s">
        <v>227</v>
      </c>
      <c r="E24" t="s">
        <v>370</v>
      </c>
      <c r="F24" t="s">
        <v>229</v>
      </c>
      <c r="G24" t="s">
        <v>58</v>
      </c>
      <c r="H24" t="s">
        <v>230</v>
      </c>
      <c r="I24" t="s">
        <v>178</v>
      </c>
      <c r="J24" t="s">
        <v>232</v>
      </c>
      <c r="K24" t="s">
        <v>233</v>
      </c>
      <c r="L24" t="s">
        <v>181</v>
      </c>
      <c r="M24" t="s">
        <v>210</v>
      </c>
      <c r="N24" t="s">
        <v>211</v>
      </c>
      <c r="O24" t="s">
        <v>347</v>
      </c>
      <c r="P24" t="s">
        <v>213</v>
      </c>
      <c r="Q24" t="s">
        <v>214</v>
      </c>
      <c r="R24" t="s">
        <v>215</v>
      </c>
      <c r="S24" t="s">
        <v>179</v>
      </c>
      <c r="T24" t="s">
        <v>291</v>
      </c>
      <c r="U24" t="s">
        <v>216</v>
      </c>
      <c r="V24" t="s">
        <v>191</v>
      </c>
      <c r="W24" t="s">
        <v>192</v>
      </c>
      <c r="X24" t="s">
        <v>193</v>
      </c>
      <c r="Y24" t="s">
        <v>238</v>
      </c>
      <c r="Z24" t="s">
        <v>220</v>
      </c>
      <c r="AA24" t="s">
        <v>179</v>
      </c>
      <c r="AB24" t="s">
        <v>179</v>
      </c>
      <c r="AC24" t="s">
        <v>179</v>
      </c>
      <c r="AD24" t="s">
        <v>179</v>
      </c>
      <c r="AE24" t="s">
        <v>359</v>
      </c>
      <c r="AF24" t="s">
        <v>197</v>
      </c>
      <c r="AG24" t="s">
        <v>198</v>
      </c>
      <c r="AH24" t="s">
        <v>218</v>
      </c>
      <c r="AI24" t="s">
        <v>529</v>
      </c>
      <c r="AJ24" t="s">
        <v>208</v>
      </c>
      <c r="AK24" t="s">
        <v>218</v>
      </c>
      <c r="AL24" t="s">
        <v>265</v>
      </c>
      <c r="AM24" t="s">
        <v>58</v>
      </c>
      <c r="AN24" t="s">
        <v>202</v>
      </c>
      <c r="AO24" t="s">
        <v>303</v>
      </c>
      <c r="AP24" t="s">
        <v>243</v>
      </c>
      <c r="AQ24" t="s">
        <v>205</v>
      </c>
      <c r="AR24">
        <v>3</v>
      </c>
      <c r="AS24" t="s">
        <v>225</v>
      </c>
    </row>
    <row r="25" spans="1:45" x14ac:dyDescent="0.2">
      <c r="A25" t="s">
        <v>511</v>
      </c>
      <c r="B25" t="s">
        <v>519</v>
      </c>
      <c r="C25" t="s">
        <v>226</v>
      </c>
      <c r="D25" t="s">
        <v>227</v>
      </c>
      <c r="E25" t="s">
        <v>370</v>
      </c>
      <c r="F25" t="s">
        <v>373</v>
      </c>
      <c r="G25" t="s">
        <v>175</v>
      </c>
      <c r="H25" t="s">
        <v>208</v>
      </c>
      <c r="I25" t="s">
        <v>278</v>
      </c>
      <c r="J25" t="s">
        <v>179</v>
      </c>
      <c r="K25" t="s">
        <v>180</v>
      </c>
      <c r="L25" t="s">
        <v>181</v>
      </c>
      <c r="M25" t="s">
        <v>210</v>
      </c>
      <c r="N25" t="s">
        <v>298</v>
      </c>
      <c r="O25" t="s">
        <v>184</v>
      </c>
      <c r="P25" t="s">
        <v>213</v>
      </c>
      <c r="Q25" t="s">
        <v>272</v>
      </c>
      <c r="R25" t="s">
        <v>236</v>
      </c>
      <c r="S25" t="s">
        <v>179</v>
      </c>
      <c r="T25" t="s">
        <v>189</v>
      </c>
      <c r="U25" t="s">
        <v>364</v>
      </c>
      <c r="V25" t="s">
        <v>184</v>
      </c>
      <c r="W25" t="s">
        <v>192</v>
      </c>
      <c r="X25" t="s">
        <v>193</v>
      </c>
      <c r="Y25" t="s">
        <v>238</v>
      </c>
      <c r="Z25" t="s">
        <v>520</v>
      </c>
      <c r="AA25" t="s">
        <v>179</v>
      </c>
      <c r="AB25" t="s">
        <v>179</v>
      </c>
      <c r="AC25" t="s">
        <v>179</v>
      </c>
      <c r="AD25" t="s">
        <v>179</v>
      </c>
      <c r="AE25" t="s">
        <v>426</v>
      </c>
      <c r="AF25" t="s">
        <v>197</v>
      </c>
      <c r="AG25" t="s">
        <v>198</v>
      </c>
      <c r="AH25" t="s">
        <v>199</v>
      </c>
      <c r="AI25" t="s">
        <v>529</v>
      </c>
      <c r="AJ25" t="s">
        <v>373</v>
      </c>
      <c r="AK25" t="s">
        <v>58</v>
      </c>
      <c r="AL25" t="s">
        <v>265</v>
      </c>
      <c r="AM25" t="s">
        <v>58</v>
      </c>
      <c r="AN25" t="s">
        <v>202</v>
      </c>
      <c r="AO25" t="s">
        <v>285</v>
      </c>
      <c r="AP25" t="s">
        <v>277</v>
      </c>
      <c r="AQ25" t="s">
        <v>205</v>
      </c>
      <c r="AR25">
        <v>3</v>
      </c>
      <c r="AS25" t="s">
        <v>225</v>
      </c>
    </row>
    <row r="30" spans="1:45" x14ac:dyDescent="0.2">
      <c r="L30" s="15">
        <f>400/167</f>
        <v>2.3952095808383231</v>
      </c>
    </row>
    <row r="33" spans="1:1" x14ac:dyDescent="0.2">
      <c r="A33" t="s">
        <v>507</v>
      </c>
    </row>
    <row r="34" spans="1:1" x14ac:dyDescent="0.2">
      <c r="A34" t="s">
        <v>508</v>
      </c>
    </row>
    <row r="35" spans="1:1" x14ac:dyDescent="0.2">
      <c r="A35" t="s">
        <v>509</v>
      </c>
    </row>
    <row r="36" spans="1:1" x14ac:dyDescent="0.2">
      <c r="A36" t="s">
        <v>510</v>
      </c>
    </row>
    <row r="37" spans="1:1" x14ac:dyDescent="0.2">
      <c r="A37" t="s">
        <v>124</v>
      </c>
    </row>
    <row r="38" spans="1:1" x14ac:dyDescent="0.2">
      <c r="A38" t="s">
        <v>512</v>
      </c>
    </row>
    <row r="39" spans="1:1" x14ac:dyDescent="0.2">
      <c r="A39" t="s">
        <v>128</v>
      </c>
    </row>
    <row r="40" spans="1:1" x14ac:dyDescent="0.2">
      <c r="A40" t="s">
        <v>513</v>
      </c>
    </row>
    <row r="41" spans="1:1" x14ac:dyDescent="0.2">
      <c r="A41" t="s">
        <v>514</v>
      </c>
    </row>
    <row r="42" spans="1:1" x14ac:dyDescent="0.2">
      <c r="A42" t="s">
        <v>515</v>
      </c>
    </row>
    <row r="43" spans="1:1" x14ac:dyDescent="0.2">
      <c r="A43" t="s">
        <v>516</v>
      </c>
    </row>
    <row r="44" spans="1:1" x14ac:dyDescent="0.2">
      <c r="A44" t="s">
        <v>116</v>
      </c>
    </row>
    <row r="45" spans="1:1" x14ac:dyDescent="0.2">
      <c r="A45" t="s">
        <v>517</v>
      </c>
    </row>
    <row r="46" spans="1:1" x14ac:dyDescent="0.2">
      <c r="A46" t="s">
        <v>518</v>
      </c>
    </row>
  </sheetData>
  <sortState xmlns:xlrd2="http://schemas.microsoft.com/office/spreadsheetml/2017/richdata2" ref="A3:AS24">
    <sortCondition ref="A3:A24"/>
  </sortState>
  <phoneticPr fontId="25"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0C8A6-9485-2341-B5F1-48614A5326A1}">
  <dimension ref="G7:G13"/>
  <sheetViews>
    <sheetView workbookViewId="0">
      <selection activeCell="L7" sqref="L7"/>
    </sheetView>
  </sheetViews>
  <sheetFormatPr baseColWidth="10" defaultRowHeight="15" x14ac:dyDescent="0.2"/>
  <sheetData>
    <row r="7" spans="7:7" x14ac:dyDescent="0.2">
      <c r="G7" t="s">
        <v>338</v>
      </c>
    </row>
    <row r="8" spans="7:7" x14ac:dyDescent="0.2">
      <c r="G8" t="s">
        <v>339</v>
      </c>
    </row>
    <row r="9" spans="7:7" x14ac:dyDescent="0.2">
      <c r="G9" t="s">
        <v>340</v>
      </c>
    </row>
    <row r="10" spans="7:7" x14ac:dyDescent="0.2">
      <c r="G10" t="s">
        <v>341</v>
      </c>
    </row>
    <row r="11" spans="7:7" x14ac:dyDescent="0.2">
      <c r="G11" t="s">
        <v>342</v>
      </c>
    </row>
    <row r="12" spans="7:7" x14ac:dyDescent="0.2">
      <c r="G12" t="s">
        <v>305</v>
      </c>
    </row>
    <row r="13" spans="7:7" x14ac:dyDescent="0.2">
      <c r="G13" t="s">
        <v>343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S259"/>
  <sheetViews>
    <sheetView zoomScale="85" zoomScaleNormal="85" workbookViewId="0">
      <pane ySplit="1" topLeftCell="A114" activePane="bottomLeft" state="frozen"/>
      <selection pane="bottomLeft" activeCell="L153" sqref="L153"/>
    </sheetView>
  </sheetViews>
  <sheetFormatPr baseColWidth="10" defaultColWidth="8.83203125" defaultRowHeight="15" x14ac:dyDescent="0.2"/>
  <cols>
    <col min="2" max="2" width="34.33203125" bestFit="1" customWidth="1"/>
    <col min="3" max="3" width="9" customWidth="1"/>
    <col min="4" max="4" width="8.83203125" bestFit="1" customWidth="1"/>
    <col min="5" max="5" width="12" bestFit="1" customWidth="1"/>
    <col min="6" max="6" width="12.1640625" customWidth="1"/>
    <col min="7" max="7" width="7.5" bestFit="1" customWidth="1"/>
    <col min="8" max="8" width="29.5" customWidth="1"/>
    <col min="9" max="9" width="21.5" customWidth="1"/>
    <col min="10" max="10" width="12.5" bestFit="1" customWidth="1"/>
    <col min="11" max="11" width="9.33203125" bestFit="1" customWidth="1"/>
  </cols>
  <sheetData>
    <row r="1" spans="1:13" s="1" customFormat="1" x14ac:dyDescent="0.2">
      <c r="A1" s="1" t="s">
        <v>554</v>
      </c>
      <c r="B1" s="1" t="s">
        <v>12</v>
      </c>
      <c r="C1" s="1" t="s">
        <v>51</v>
      </c>
      <c r="D1" s="1" t="s">
        <v>52</v>
      </c>
      <c r="E1" s="1" t="s">
        <v>17</v>
      </c>
      <c r="F1" s="1" t="s">
        <v>13</v>
      </c>
      <c r="G1" s="1" t="s">
        <v>18</v>
      </c>
      <c r="H1" s="1" t="s">
        <v>15</v>
      </c>
      <c r="I1" s="1" t="s">
        <v>9</v>
      </c>
      <c r="J1" s="1" t="s">
        <v>1</v>
      </c>
      <c r="K1" t="s">
        <v>14</v>
      </c>
      <c r="L1" t="s">
        <v>45</v>
      </c>
      <c r="M1" s="1" t="s">
        <v>46</v>
      </c>
    </row>
    <row r="2" spans="1:13" s="1" customFormat="1" x14ac:dyDescent="0.2">
      <c r="A2" s="1">
        <v>1</v>
      </c>
      <c r="B2" s="1" t="s">
        <v>521</v>
      </c>
      <c r="E2" s="5"/>
      <c r="K2"/>
      <c r="L2"/>
    </row>
    <row r="3" spans="1:13" s="1" customFormat="1" x14ac:dyDescent="0.2">
      <c r="A3" s="1">
        <v>2</v>
      </c>
      <c r="B3" s="1" t="s">
        <v>527</v>
      </c>
      <c r="E3" s="4">
        <v>1</v>
      </c>
      <c r="F3" t="s">
        <v>111</v>
      </c>
      <c r="G3"/>
      <c r="H3"/>
      <c r="I3" s="1" t="s">
        <v>79</v>
      </c>
      <c r="K3"/>
      <c r="L3"/>
    </row>
    <row r="4" spans="1:13" s="1" customFormat="1" x14ac:dyDescent="0.2">
      <c r="A4" s="1">
        <v>3</v>
      </c>
      <c r="B4" s="1" t="s">
        <v>524</v>
      </c>
      <c r="E4" s="4">
        <v>1</v>
      </c>
      <c r="F4" t="s">
        <v>48</v>
      </c>
      <c r="H4" s="1" t="s">
        <v>525</v>
      </c>
      <c r="I4" s="1" t="s">
        <v>79</v>
      </c>
      <c r="J4" s="1" t="s">
        <v>156</v>
      </c>
      <c r="K4"/>
      <c r="L4"/>
    </row>
    <row r="5" spans="1:13" s="1" customFormat="1" x14ac:dyDescent="0.2">
      <c r="A5" s="1">
        <v>4</v>
      </c>
      <c r="B5" s="1" t="s">
        <v>522</v>
      </c>
      <c r="E5" s="4">
        <v>1</v>
      </c>
      <c r="F5" t="s">
        <v>48</v>
      </c>
      <c r="H5" s="1" t="s">
        <v>523</v>
      </c>
      <c r="I5" s="1" t="s">
        <v>79</v>
      </c>
      <c r="J5" s="1" t="s">
        <v>155</v>
      </c>
      <c r="K5"/>
      <c r="L5"/>
    </row>
    <row r="6" spans="1:13" x14ac:dyDescent="0.2">
      <c r="A6" s="1">
        <v>5</v>
      </c>
      <c r="B6" s="1" t="s">
        <v>526</v>
      </c>
      <c r="E6" s="4">
        <v>1</v>
      </c>
      <c r="F6" t="s">
        <v>48</v>
      </c>
      <c r="H6" s="1" t="s">
        <v>585</v>
      </c>
      <c r="I6" s="1" t="s">
        <v>79</v>
      </c>
    </row>
    <row r="7" spans="1:13" x14ac:dyDescent="0.2">
      <c r="A7" s="1">
        <v>6</v>
      </c>
      <c r="B7" s="1" t="s">
        <v>108</v>
      </c>
      <c r="E7" s="4">
        <v>1</v>
      </c>
      <c r="F7" t="s">
        <v>48</v>
      </c>
      <c r="H7" s="1" t="s">
        <v>586</v>
      </c>
      <c r="I7" s="1" t="s">
        <v>79</v>
      </c>
    </row>
    <row r="8" spans="1:13" x14ac:dyDescent="0.2">
      <c r="A8" s="1">
        <v>7</v>
      </c>
      <c r="B8" s="1" t="s">
        <v>60</v>
      </c>
    </row>
    <row r="9" spans="1:13" x14ac:dyDescent="0.2">
      <c r="A9" s="1">
        <v>8</v>
      </c>
      <c r="B9" s="1" t="s">
        <v>537</v>
      </c>
    </row>
    <row r="10" spans="1:13" x14ac:dyDescent="0.2">
      <c r="A10" s="1">
        <v>9</v>
      </c>
      <c r="B10" s="1" t="s">
        <v>536</v>
      </c>
      <c r="E10" s="4">
        <v>1</v>
      </c>
      <c r="F10" t="s">
        <v>111</v>
      </c>
      <c r="I10" s="1" t="s">
        <v>118</v>
      </c>
    </row>
    <row r="12" spans="1:13" x14ac:dyDescent="0.2">
      <c r="A12" s="1"/>
      <c r="B12" s="1" t="s">
        <v>581</v>
      </c>
      <c r="E12" s="4">
        <v>1</v>
      </c>
      <c r="F12" t="s">
        <v>48</v>
      </c>
      <c r="H12" t="s">
        <v>584</v>
      </c>
      <c r="I12" s="1" t="s">
        <v>118</v>
      </c>
    </row>
    <row r="13" spans="1:13" x14ac:dyDescent="0.2">
      <c r="A13" s="1"/>
      <c r="B13" s="1" t="s">
        <v>580</v>
      </c>
      <c r="E13" s="4">
        <v>1</v>
      </c>
      <c r="F13" t="s">
        <v>48</v>
      </c>
      <c r="H13" t="s">
        <v>584</v>
      </c>
      <c r="I13" s="1" t="s">
        <v>118</v>
      </c>
    </row>
    <row r="14" spans="1:13" x14ac:dyDescent="0.2">
      <c r="A14" s="1"/>
      <c r="B14" s="1" t="s">
        <v>582</v>
      </c>
      <c r="E14" s="4">
        <v>1</v>
      </c>
      <c r="F14" t="s">
        <v>48</v>
      </c>
      <c r="H14" t="s">
        <v>598</v>
      </c>
      <c r="I14" s="1" t="s">
        <v>118</v>
      </c>
    </row>
    <row r="15" spans="1:13" x14ac:dyDescent="0.2">
      <c r="A15" s="1"/>
      <c r="B15" s="1" t="s">
        <v>583</v>
      </c>
      <c r="E15" s="4">
        <v>1</v>
      </c>
      <c r="F15" t="s">
        <v>48</v>
      </c>
      <c r="H15" t="s">
        <v>599</v>
      </c>
      <c r="I15" s="1" t="s">
        <v>118</v>
      </c>
    </row>
    <row r="16" spans="1:13" x14ac:dyDescent="0.2">
      <c r="A16" s="1"/>
      <c r="B16" s="1" t="s">
        <v>587</v>
      </c>
      <c r="E16" s="4">
        <v>1</v>
      </c>
      <c r="F16" t="s">
        <v>48</v>
      </c>
      <c r="H16" t="s">
        <v>600</v>
      </c>
      <c r="I16" s="1" t="s">
        <v>118</v>
      </c>
    </row>
    <row r="17" spans="1:13" x14ac:dyDescent="0.2">
      <c r="A17" s="1">
        <v>10</v>
      </c>
      <c r="B17" s="1" t="s">
        <v>588</v>
      </c>
      <c r="E17" s="4">
        <v>1</v>
      </c>
      <c r="F17" t="s">
        <v>48</v>
      </c>
      <c r="H17" t="s">
        <v>601</v>
      </c>
      <c r="I17" s="1" t="s">
        <v>118</v>
      </c>
    </row>
    <row r="18" spans="1:13" x14ac:dyDescent="0.2">
      <c r="A18" s="1"/>
      <c r="B18" s="1" t="s">
        <v>589</v>
      </c>
      <c r="E18" s="4">
        <v>1</v>
      </c>
      <c r="F18" t="s">
        <v>48</v>
      </c>
      <c r="H18" t="s">
        <v>602</v>
      </c>
      <c r="I18" s="1" t="s">
        <v>118</v>
      </c>
    </row>
    <row r="19" spans="1:13" x14ac:dyDescent="0.2">
      <c r="A19" s="1"/>
      <c r="B19" s="1" t="s">
        <v>606</v>
      </c>
      <c r="E19" s="4">
        <v>1</v>
      </c>
      <c r="F19" t="s">
        <v>48</v>
      </c>
      <c r="H19" t="s">
        <v>607</v>
      </c>
      <c r="I19" s="1" t="s">
        <v>118</v>
      </c>
      <c r="M19" t="s">
        <v>694</v>
      </c>
    </row>
    <row r="20" spans="1:13" x14ac:dyDescent="0.2">
      <c r="A20" s="1"/>
      <c r="B20" s="1" t="s">
        <v>608</v>
      </c>
      <c r="E20" s="4">
        <v>1</v>
      </c>
      <c r="F20" t="s">
        <v>48</v>
      </c>
      <c r="H20" t="s">
        <v>607</v>
      </c>
      <c r="I20" s="1" t="s">
        <v>118</v>
      </c>
    </row>
    <row r="21" spans="1:13" ht="20" x14ac:dyDescent="0.2">
      <c r="A21" s="22" t="s">
        <v>60</v>
      </c>
      <c r="B21" s="22" t="s">
        <v>695</v>
      </c>
      <c r="C21" s="15"/>
      <c r="D21" s="15"/>
      <c r="E21" s="37">
        <v>1</v>
      </c>
      <c r="F21" s="15" t="s">
        <v>48</v>
      </c>
      <c r="G21" s="15"/>
      <c r="H21" s="38" t="s">
        <v>693</v>
      </c>
      <c r="I21" s="22" t="s">
        <v>118</v>
      </c>
      <c r="J21" s="15" t="s">
        <v>690</v>
      </c>
      <c r="K21" s="15"/>
      <c r="M21" t="str">
        <f>CONCATENATE("USGS image: ",H21)</f>
        <v>USGS image: Andrena thaspii, f, left, Washington Co., VA_2018-05-29-15.16</v>
      </c>
    </row>
    <row r="22" spans="1:13" ht="20" x14ac:dyDescent="0.2">
      <c r="A22" s="22" t="s">
        <v>60</v>
      </c>
      <c r="B22" s="22" t="s">
        <v>697</v>
      </c>
      <c r="C22" s="15"/>
      <c r="D22" s="15"/>
      <c r="E22" s="37"/>
      <c r="F22" s="15"/>
      <c r="G22" s="15"/>
      <c r="H22" s="38" t="s">
        <v>692</v>
      </c>
      <c r="I22" s="22"/>
      <c r="J22" s="15" t="s">
        <v>688</v>
      </c>
      <c r="K22" s="15"/>
      <c r="M22" t="str">
        <f>CONCATENATE("USGS image: ",H22)</f>
        <v>USGS image: Andrena thaspii, f, back, Washington Co., VA_2018-05-29-15.04</v>
      </c>
    </row>
    <row r="23" spans="1:13" ht="20" x14ac:dyDescent="0.2">
      <c r="A23" s="22" t="s">
        <v>60</v>
      </c>
      <c r="B23" s="22" t="s">
        <v>696</v>
      </c>
      <c r="C23" s="15"/>
      <c r="D23" s="15"/>
      <c r="E23" s="37"/>
      <c r="F23" s="15"/>
      <c r="G23" s="15"/>
      <c r="H23" s="38" t="s">
        <v>691</v>
      </c>
      <c r="I23" s="22"/>
      <c r="J23" s="15" t="s">
        <v>689</v>
      </c>
      <c r="K23" s="15"/>
      <c r="M23" t="str">
        <f>CONCATENATE("USGS image: ",H23)</f>
        <v>USGS image: Andrena thaspii, f, face, Washington Co., VA_2018-05-29-15.11</v>
      </c>
    </row>
    <row r="24" spans="1:13" ht="20" x14ac:dyDescent="0.2">
      <c r="A24" s="22" t="s">
        <v>60</v>
      </c>
      <c r="B24" s="22" t="s">
        <v>659</v>
      </c>
      <c r="C24" s="15"/>
      <c r="D24" s="15"/>
      <c r="E24" s="37">
        <v>1</v>
      </c>
      <c r="F24" s="15" t="s">
        <v>48</v>
      </c>
      <c r="G24" s="15"/>
      <c r="H24" s="38" t="s">
        <v>698</v>
      </c>
      <c r="I24" s="22" t="s">
        <v>118</v>
      </c>
      <c r="J24" s="15" t="s">
        <v>689</v>
      </c>
      <c r="K24" s="15"/>
      <c r="M24" t="str">
        <f>CONCATENATE("USGS image: ",H24)</f>
        <v>USGS image: Andrena macoupinensis, f, left, Morgantown WV_2019-03-22-00.51.40</v>
      </c>
    </row>
    <row r="25" spans="1:13" ht="20" x14ac:dyDescent="0.2">
      <c r="A25" s="1">
        <v>11</v>
      </c>
      <c r="B25" s="36" t="s">
        <v>700</v>
      </c>
      <c r="E25" s="4"/>
      <c r="H25" s="36" t="s">
        <v>699</v>
      </c>
      <c r="I25" s="1"/>
      <c r="M25" t="str">
        <f>CONCATENATE("USGS image: ",H25)</f>
        <v>USGS image: Andrena macoupinensis, f, face, Morgantown WV_2019-03-22-00.58.20</v>
      </c>
    </row>
    <row r="26" spans="1:13" x14ac:dyDescent="0.2">
      <c r="A26" s="1">
        <v>12</v>
      </c>
      <c r="B26" s="1"/>
      <c r="E26" s="4"/>
      <c r="I26" s="1"/>
    </row>
    <row r="27" spans="1:13" x14ac:dyDescent="0.2">
      <c r="A27" s="1">
        <v>13</v>
      </c>
      <c r="B27" s="1" t="s">
        <v>540</v>
      </c>
      <c r="E27" s="4"/>
      <c r="I27" s="1"/>
    </row>
    <row r="28" spans="1:13" x14ac:dyDescent="0.2">
      <c r="A28" s="1"/>
      <c r="B28" s="1" t="s">
        <v>538</v>
      </c>
      <c r="E28" s="4">
        <v>1</v>
      </c>
      <c r="F28" t="s">
        <v>111</v>
      </c>
      <c r="I28" t="s">
        <v>119</v>
      </c>
    </row>
    <row r="29" spans="1:13" x14ac:dyDescent="0.2">
      <c r="A29" s="1">
        <v>14</v>
      </c>
      <c r="B29" s="1" t="s">
        <v>590</v>
      </c>
      <c r="E29" s="4">
        <v>1</v>
      </c>
      <c r="F29" t="s">
        <v>48</v>
      </c>
      <c r="H29" t="s">
        <v>603</v>
      </c>
      <c r="I29" t="s">
        <v>119</v>
      </c>
    </row>
    <row r="30" spans="1:13" x14ac:dyDescent="0.2">
      <c r="A30" s="1">
        <v>15</v>
      </c>
      <c r="B30" s="1" t="s">
        <v>591</v>
      </c>
      <c r="E30" s="4">
        <v>1</v>
      </c>
      <c r="F30" t="s">
        <v>48</v>
      </c>
      <c r="H30" t="s">
        <v>604</v>
      </c>
      <c r="I30" t="s">
        <v>119</v>
      </c>
    </row>
    <row r="31" spans="1:13" x14ac:dyDescent="0.2">
      <c r="A31" s="1" t="s">
        <v>60</v>
      </c>
      <c r="B31" s="1" t="s">
        <v>658</v>
      </c>
      <c r="E31" s="4">
        <v>2</v>
      </c>
      <c r="F31" t="s">
        <v>48</v>
      </c>
      <c r="H31" t="s">
        <v>648</v>
      </c>
      <c r="I31" t="s">
        <v>119</v>
      </c>
    </row>
    <row r="32" spans="1:13" x14ac:dyDescent="0.2">
      <c r="A32" s="1">
        <v>16</v>
      </c>
      <c r="B32" s="1" t="s">
        <v>60</v>
      </c>
      <c r="E32" s="4"/>
    </row>
    <row r="33" spans="1:9" x14ac:dyDescent="0.2">
      <c r="A33" s="1"/>
      <c r="B33" s="1" t="s">
        <v>541</v>
      </c>
      <c r="E33" s="4"/>
    </row>
    <row r="34" spans="1:9" x14ac:dyDescent="0.2">
      <c r="A34" s="1">
        <v>17</v>
      </c>
      <c r="B34" s="1" t="s">
        <v>539</v>
      </c>
      <c r="E34" s="4">
        <v>1</v>
      </c>
      <c r="F34" t="s">
        <v>111</v>
      </c>
      <c r="I34" t="s">
        <v>120</v>
      </c>
    </row>
    <row r="35" spans="1:9" x14ac:dyDescent="0.2">
      <c r="A35" s="1">
        <v>18</v>
      </c>
      <c r="B35" s="1" t="s">
        <v>597</v>
      </c>
      <c r="E35" s="4">
        <v>1</v>
      </c>
      <c r="F35" t="s">
        <v>48</v>
      </c>
      <c r="H35" t="s">
        <v>605</v>
      </c>
      <c r="I35" t="s">
        <v>120</v>
      </c>
    </row>
    <row r="36" spans="1:9" x14ac:dyDescent="0.2">
      <c r="A36" s="1">
        <v>19</v>
      </c>
      <c r="B36" s="1" t="s">
        <v>60</v>
      </c>
      <c r="E36" s="4"/>
    </row>
    <row r="37" spans="1:9" x14ac:dyDescent="0.2">
      <c r="A37" s="1">
        <v>20</v>
      </c>
      <c r="B37" s="1" t="s">
        <v>542</v>
      </c>
      <c r="E37" s="4"/>
    </row>
    <row r="38" spans="1:9" x14ac:dyDescent="0.2">
      <c r="A38" s="1">
        <v>21</v>
      </c>
      <c r="B38" s="1" t="s">
        <v>543</v>
      </c>
      <c r="E38" s="4">
        <v>1</v>
      </c>
      <c r="F38" t="s">
        <v>111</v>
      </c>
      <c r="I38" t="s">
        <v>122</v>
      </c>
    </row>
    <row r="39" spans="1:9" x14ac:dyDescent="0.2">
      <c r="A39" s="1">
        <v>22</v>
      </c>
      <c r="B39" s="1" t="s">
        <v>60</v>
      </c>
      <c r="E39" s="4"/>
    </row>
    <row r="40" spans="1:9" x14ac:dyDescent="0.2">
      <c r="A40" s="1">
        <v>23</v>
      </c>
      <c r="B40" s="1" t="s">
        <v>60</v>
      </c>
      <c r="E40" s="4"/>
    </row>
    <row r="41" spans="1:9" x14ac:dyDescent="0.2">
      <c r="A41" s="1">
        <v>24</v>
      </c>
      <c r="B41" s="1" t="s">
        <v>544</v>
      </c>
      <c r="E41" s="4"/>
    </row>
    <row r="42" spans="1:9" x14ac:dyDescent="0.2">
      <c r="A42" s="1">
        <v>25</v>
      </c>
      <c r="B42" s="1" t="s">
        <v>545</v>
      </c>
      <c r="E42" s="4">
        <v>1</v>
      </c>
      <c r="F42" t="s">
        <v>111</v>
      </c>
      <c r="I42" t="s">
        <v>76</v>
      </c>
    </row>
    <row r="43" spans="1:9" x14ac:dyDescent="0.2">
      <c r="A43" s="1">
        <v>26</v>
      </c>
      <c r="B43" s="1" t="s">
        <v>60</v>
      </c>
      <c r="E43" s="4"/>
    </row>
    <row r="44" spans="1:9" x14ac:dyDescent="0.2">
      <c r="A44" s="1">
        <v>27</v>
      </c>
      <c r="B44" s="1" t="s">
        <v>546</v>
      </c>
      <c r="E44" s="4"/>
    </row>
    <row r="45" spans="1:9" x14ac:dyDescent="0.2">
      <c r="A45" s="1">
        <v>28</v>
      </c>
      <c r="B45" s="1" t="s">
        <v>547</v>
      </c>
      <c r="E45" s="4">
        <v>1</v>
      </c>
      <c r="F45" t="s">
        <v>111</v>
      </c>
      <c r="I45" t="s">
        <v>129</v>
      </c>
    </row>
    <row r="46" spans="1:9" x14ac:dyDescent="0.2">
      <c r="A46" s="1">
        <v>29</v>
      </c>
      <c r="B46" s="1" t="s">
        <v>60</v>
      </c>
      <c r="E46" s="4"/>
    </row>
    <row r="47" spans="1:9" x14ac:dyDescent="0.2">
      <c r="A47" s="1">
        <v>30</v>
      </c>
      <c r="B47" t="s">
        <v>566</v>
      </c>
      <c r="E47" s="4"/>
    </row>
    <row r="48" spans="1:9" x14ac:dyDescent="0.2">
      <c r="A48" s="1">
        <v>31</v>
      </c>
      <c r="B48" s="1" t="s">
        <v>565</v>
      </c>
      <c r="E48" s="4">
        <v>1</v>
      </c>
      <c r="F48" t="s">
        <v>111</v>
      </c>
      <c r="I48" t="s">
        <v>77</v>
      </c>
    </row>
    <row r="49" spans="1:9" x14ac:dyDescent="0.2">
      <c r="A49" s="1"/>
      <c r="B49" s="1" t="s">
        <v>655</v>
      </c>
      <c r="E49" s="4">
        <v>1</v>
      </c>
      <c r="F49" t="s">
        <v>48</v>
      </c>
      <c r="H49" t="s">
        <v>657</v>
      </c>
      <c r="I49" t="s">
        <v>77</v>
      </c>
    </row>
    <row r="50" spans="1:9" x14ac:dyDescent="0.2">
      <c r="A50" s="1"/>
      <c r="B50" s="1" t="s">
        <v>656</v>
      </c>
      <c r="E50" s="4">
        <v>1</v>
      </c>
      <c r="F50" t="s">
        <v>48</v>
      </c>
      <c r="H50" t="s">
        <v>657</v>
      </c>
      <c r="I50" t="s">
        <v>77</v>
      </c>
    </row>
    <row r="51" spans="1:9" x14ac:dyDescent="0.2">
      <c r="A51" s="1">
        <v>32</v>
      </c>
      <c r="B51" s="1" t="s">
        <v>60</v>
      </c>
      <c r="E51" s="4"/>
    </row>
    <row r="52" spans="1:9" x14ac:dyDescent="0.2">
      <c r="A52" s="1">
        <v>33</v>
      </c>
      <c r="B52" t="s">
        <v>555</v>
      </c>
      <c r="E52" s="4"/>
    </row>
    <row r="53" spans="1:9" x14ac:dyDescent="0.2">
      <c r="A53" s="1"/>
      <c r="B53" s="1" t="s">
        <v>549</v>
      </c>
      <c r="E53" s="4">
        <v>1</v>
      </c>
      <c r="F53" t="s">
        <v>111</v>
      </c>
      <c r="I53" t="s">
        <v>508</v>
      </c>
    </row>
    <row r="54" spans="1:9" x14ac:dyDescent="0.2">
      <c r="A54" s="1"/>
      <c r="B54" s="1" t="s">
        <v>593</v>
      </c>
      <c r="E54" s="4">
        <v>1</v>
      </c>
      <c r="F54" t="s">
        <v>48</v>
      </c>
      <c r="H54" t="s">
        <v>595</v>
      </c>
      <c r="I54" t="s">
        <v>508</v>
      </c>
    </row>
    <row r="55" spans="1:9" x14ac:dyDescent="0.2">
      <c r="A55" s="1"/>
      <c r="B55" s="1" t="s">
        <v>592</v>
      </c>
      <c r="E55" s="4">
        <v>1</v>
      </c>
      <c r="F55" t="s">
        <v>48</v>
      </c>
      <c r="H55" t="s">
        <v>595</v>
      </c>
      <c r="I55" t="s">
        <v>508</v>
      </c>
    </row>
    <row r="56" spans="1:9" x14ac:dyDescent="0.2">
      <c r="A56" s="1">
        <v>34</v>
      </c>
      <c r="B56" s="1" t="s">
        <v>592</v>
      </c>
      <c r="E56" s="4">
        <v>1</v>
      </c>
      <c r="F56" t="s">
        <v>48</v>
      </c>
      <c r="H56" t="s">
        <v>595</v>
      </c>
      <c r="I56" t="s">
        <v>508</v>
      </c>
    </row>
    <row r="57" spans="1:9" x14ac:dyDescent="0.2">
      <c r="A57" s="1">
        <v>35</v>
      </c>
      <c r="B57" s="1" t="s">
        <v>594</v>
      </c>
      <c r="E57" s="4">
        <v>1</v>
      </c>
      <c r="F57" t="s">
        <v>48</v>
      </c>
      <c r="H57" t="s">
        <v>596</v>
      </c>
      <c r="I57" t="s">
        <v>508</v>
      </c>
    </row>
    <row r="58" spans="1:9" x14ac:dyDescent="0.2">
      <c r="A58" s="1">
        <v>36</v>
      </c>
      <c r="B58" s="1" t="s">
        <v>567</v>
      </c>
      <c r="E58" s="4"/>
    </row>
    <row r="59" spans="1:9" x14ac:dyDescent="0.2">
      <c r="A59" s="1">
        <v>37</v>
      </c>
      <c r="B59" s="1" t="s">
        <v>550</v>
      </c>
      <c r="E59" s="4">
        <v>1</v>
      </c>
      <c r="F59" t="s">
        <v>111</v>
      </c>
      <c r="I59" t="s">
        <v>121</v>
      </c>
    </row>
    <row r="60" spans="1:9" x14ac:dyDescent="0.2">
      <c r="A60" s="1">
        <v>38</v>
      </c>
      <c r="B60" s="1" t="s">
        <v>60</v>
      </c>
      <c r="E60" s="4"/>
    </row>
    <row r="61" spans="1:9" x14ac:dyDescent="0.2">
      <c r="A61" s="1">
        <v>39</v>
      </c>
      <c r="B61" s="1" t="s">
        <v>542</v>
      </c>
      <c r="E61" s="4"/>
    </row>
    <row r="62" spans="1:9" x14ac:dyDescent="0.2">
      <c r="A62" s="1">
        <v>40</v>
      </c>
      <c r="B62" s="1" t="s">
        <v>543</v>
      </c>
      <c r="E62" s="4">
        <v>1</v>
      </c>
      <c r="F62" t="s">
        <v>111</v>
      </c>
      <c r="I62" t="s">
        <v>122</v>
      </c>
    </row>
    <row r="63" spans="1:9" x14ac:dyDescent="0.2">
      <c r="A63" s="1">
        <v>41</v>
      </c>
      <c r="B63" s="1" t="s">
        <v>60</v>
      </c>
      <c r="E63" s="4"/>
    </row>
    <row r="64" spans="1:9" x14ac:dyDescent="0.2">
      <c r="A64" s="1">
        <v>42</v>
      </c>
      <c r="B64" s="1" t="s">
        <v>568</v>
      </c>
      <c r="E64" s="4"/>
    </row>
    <row r="65" spans="1:9" x14ac:dyDescent="0.2">
      <c r="A65" s="1">
        <v>43</v>
      </c>
      <c r="B65" s="1" t="s">
        <v>552</v>
      </c>
      <c r="E65" s="4">
        <v>1</v>
      </c>
      <c r="F65" t="s">
        <v>111</v>
      </c>
      <c r="I65" t="s">
        <v>123</v>
      </c>
    </row>
    <row r="66" spans="1:9" x14ac:dyDescent="0.2">
      <c r="A66" s="1">
        <v>44</v>
      </c>
      <c r="B66" s="1" t="s">
        <v>60</v>
      </c>
      <c r="E66" s="4"/>
    </row>
    <row r="67" spans="1:9" x14ac:dyDescent="0.2">
      <c r="A67" s="1">
        <v>45</v>
      </c>
      <c r="B67" s="1" t="s">
        <v>569</v>
      </c>
      <c r="E67" s="4"/>
    </row>
    <row r="68" spans="1:9" x14ac:dyDescent="0.2">
      <c r="A68" s="1">
        <v>46</v>
      </c>
      <c r="B68" s="1" t="s">
        <v>553</v>
      </c>
      <c r="E68" s="4">
        <v>1</v>
      </c>
      <c r="F68" t="s">
        <v>111</v>
      </c>
      <c r="I68" t="s">
        <v>125</v>
      </c>
    </row>
    <row r="69" spans="1:9" x14ac:dyDescent="0.2">
      <c r="A69" s="1">
        <v>47</v>
      </c>
      <c r="B69" s="1" t="s">
        <v>60</v>
      </c>
      <c r="E69" s="4"/>
    </row>
    <row r="70" spans="1:9" x14ac:dyDescent="0.2">
      <c r="A70" s="1">
        <v>48</v>
      </c>
      <c r="B70" s="1" t="s">
        <v>570</v>
      </c>
      <c r="E70" s="4"/>
    </row>
    <row r="71" spans="1:9" x14ac:dyDescent="0.2">
      <c r="A71" s="1">
        <v>49</v>
      </c>
      <c r="B71" s="1" t="s">
        <v>551</v>
      </c>
      <c r="E71" s="4">
        <v>1</v>
      </c>
      <c r="F71" t="s">
        <v>111</v>
      </c>
      <c r="I71" t="s">
        <v>75</v>
      </c>
    </row>
    <row r="72" spans="1:9" x14ac:dyDescent="0.2">
      <c r="A72" s="1" t="s">
        <v>60</v>
      </c>
      <c r="B72" s="1" t="s">
        <v>660</v>
      </c>
      <c r="E72" s="4">
        <v>1</v>
      </c>
      <c r="F72" t="s">
        <v>48</v>
      </c>
      <c r="H72" t="s">
        <v>645</v>
      </c>
      <c r="I72" t="s">
        <v>75</v>
      </c>
    </row>
    <row r="73" spans="1:9" x14ac:dyDescent="0.2">
      <c r="A73" s="1">
        <v>50</v>
      </c>
      <c r="B73" s="1" t="s">
        <v>60</v>
      </c>
      <c r="E73" s="4"/>
    </row>
    <row r="74" spans="1:9" x14ac:dyDescent="0.2">
      <c r="A74" s="1"/>
      <c r="B74" s="1" t="s">
        <v>544</v>
      </c>
      <c r="E74" s="4"/>
    </row>
    <row r="75" spans="1:9" x14ac:dyDescent="0.2">
      <c r="B75" s="1" t="s">
        <v>545</v>
      </c>
      <c r="E75" s="4">
        <v>1</v>
      </c>
      <c r="F75" t="s">
        <v>111</v>
      </c>
      <c r="I75" t="s">
        <v>76</v>
      </c>
    </row>
    <row r="76" spans="1:9" x14ac:dyDescent="0.2">
      <c r="B76" s="1" t="s">
        <v>60</v>
      </c>
      <c r="E76" s="4"/>
    </row>
    <row r="77" spans="1:9" x14ac:dyDescent="0.2">
      <c r="B77" s="1" t="s">
        <v>60</v>
      </c>
      <c r="E77" s="4"/>
    </row>
    <row r="78" spans="1:9" x14ac:dyDescent="0.2">
      <c r="B78" t="s">
        <v>556</v>
      </c>
    </row>
    <row r="79" spans="1:9" x14ac:dyDescent="0.2">
      <c r="B79" s="1" t="s">
        <v>571</v>
      </c>
      <c r="E79" s="4">
        <v>1</v>
      </c>
      <c r="F79" t="s">
        <v>111</v>
      </c>
      <c r="I79" t="s">
        <v>130</v>
      </c>
    </row>
    <row r="80" spans="1:9" x14ac:dyDescent="0.2">
      <c r="B80" s="1" t="s">
        <v>60</v>
      </c>
      <c r="E80" s="4"/>
    </row>
    <row r="81" spans="1:9" x14ac:dyDescent="0.2">
      <c r="B81" t="s">
        <v>557</v>
      </c>
      <c r="E81" s="4"/>
    </row>
    <row r="82" spans="1:9" x14ac:dyDescent="0.2">
      <c r="B82" s="1" t="s">
        <v>572</v>
      </c>
      <c r="E82" s="4">
        <v>1</v>
      </c>
      <c r="F82" t="s">
        <v>111</v>
      </c>
      <c r="I82" t="s">
        <v>131</v>
      </c>
    </row>
    <row r="83" spans="1:9" x14ac:dyDescent="0.2">
      <c r="A83" t="s">
        <v>60</v>
      </c>
      <c r="B83" s="1" t="s">
        <v>661</v>
      </c>
      <c r="E83" s="4">
        <v>1</v>
      </c>
      <c r="F83" t="s">
        <v>48</v>
      </c>
      <c r="H83" t="s">
        <v>649</v>
      </c>
      <c r="I83" t="s">
        <v>131</v>
      </c>
    </row>
    <row r="84" spans="1:9" x14ac:dyDescent="0.2">
      <c r="B84" s="1" t="s">
        <v>60</v>
      </c>
      <c r="E84" s="4"/>
    </row>
    <row r="85" spans="1:9" x14ac:dyDescent="0.2">
      <c r="B85" t="s">
        <v>558</v>
      </c>
      <c r="E85" s="4"/>
    </row>
    <row r="86" spans="1:9" x14ac:dyDescent="0.2">
      <c r="B86" s="1" t="s">
        <v>573</v>
      </c>
      <c r="E86" s="4">
        <v>1</v>
      </c>
      <c r="F86" t="s">
        <v>111</v>
      </c>
      <c r="I86" t="s">
        <v>134</v>
      </c>
    </row>
    <row r="87" spans="1:9" x14ac:dyDescent="0.2">
      <c r="B87" s="1" t="s">
        <v>60</v>
      </c>
      <c r="E87" s="4"/>
    </row>
    <row r="88" spans="1:9" x14ac:dyDescent="0.2">
      <c r="B88" t="s">
        <v>559</v>
      </c>
      <c r="E88" s="4"/>
    </row>
    <row r="89" spans="1:9" x14ac:dyDescent="0.2">
      <c r="B89" s="1" t="s">
        <v>574</v>
      </c>
      <c r="E89" s="4">
        <v>1</v>
      </c>
      <c r="F89" t="s">
        <v>111</v>
      </c>
      <c r="I89" t="s">
        <v>133</v>
      </c>
    </row>
    <row r="90" spans="1:9" x14ac:dyDescent="0.2">
      <c r="A90" t="s">
        <v>60</v>
      </c>
      <c r="B90" s="1" t="s">
        <v>662</v>
      </c>
      <c r="E90" s="4">
        <v>1</v>
      </c>
      <c r="F90" t="s">
        <v>48</v>
      </c>
      <c r="H90" t="s">
        <v>644</v>
      </c>
      <c r="I90" t="s">
        <v>133</v>
      </c>
    </row>
    <row r="91" spans="1:9" x14ac:dyDescent="0.2">
      <c r="B91" s="1"/>
      <c r="E91" s="4"/>
    </row>
    <row r="92" spans="1:9" x14ac:dyDescent="0.2">
      <c r="B92" s="1" t="s">
        <v>60</v>
      </c>
      <c r="E92" s="4"/>
    </row>
    <row r="93" spans="1:9" x14ac:dyDescent="0.2">
      <c r="B93" t="s">
        <v>560</v>
      </c>
      <c r="E93" s="4"/>
    </row>
    <row r="94" spans="1:9" x14ac:dyDescent="0.2">
      <c r="B94" s="1" t="s">
        <v>575</v>
      </c>
      <c r="E94" s="4">
        <v>1</v>
      </c>
      <c r="F94" t="s">
        <v>111</v>
      </c>
      <c r="I94" t="s">
        <v>78</v>
      </c>
    </row>
    <row r="95" spans="1:9" x14ac:dyDescent="0.2">
      <c r="B95" s="1" t="s">
        <v>60</v>
      </c>
      <c r="E95" s="4"/>
    </row>
    <row r="96" spans="1:9" x14ac:dyDescent="0.2">
      <c r="B96" t="s">
        <v>561</v>
      </c>
      <c r="E96" s="4"/>
    </row>
    <row r="97" spans="1:9" x14ac:dyDescent="0.2">
      <c r="B97" s="1" t="s">
        <v>576</v>
      </c>
      <c r="E97" s="4">
        <v>1</v>
      </c>
      <c r="F97" t="s">
        <v>111</v>
      </c>
      <c r="I97" t="s">
        <v>132</v>
      </c>
    </row>
    <row r="98" spans="1:9" x14ac:dyDescent="0.2">
      <c r="B98" s="1" t="s">
        <v>60</v>
      </c>
      <c r="E98" s="4"/>
    </row>
    <row r="99" spans="1:9" x14ac:dyDescent="0.2">
      <c r="B99" t="s">
        <v>562</v>
      </c>
    </row>
    <row r="100" spans="1:9" x14ac:dyDescent="0.2">
      <c r="B100" s="1" t="s">
        <v>577</v>
      </c>
      <c r="E100" s="4">
        <v>1</v>
      </c>
      <c r="F100" t="s">
        <v>111</v>
      </c>
      <c r="I100" t="s">
        <v>126</v>
      </c>
    </row>
    <row r="101" spans="1:9" x14ac:dyDescent="0.2">
      <c r="A101" t="s">
        <v>60</v>
      </c>
      <c r="B101" s="1" t="s">
        <v>663</v>
      </c>
      <c r="E101" s="4"/>
      <c r="H101" t="s">
        <v>652</v>
      </c>
      <c r="I101" t="s">
        <v>126</v>
      </c>
    </row>
    <row r="102" spans="1:9" x14ac:dyDescent="0.2">
      <c r="B102" s="1" t="s">
        <v>60</v>
      </c>
    </row>
    <row r="103" spans="1:9" x14ac:dyDescent="0.2">
      <c r="B103" t="s">
        <v>563</v>
      </c>
    </row>
    <row r="104" spans="1:9" x14ac:dyDescent="0.2">
      <c r="B104" s="1" t="s">
        <v>578</v>
      </c>
      <c r="E104" s="4">
        <v>1</v>
      </c>
      <c r="F104" t="s">
        <v>111</v>
      </c>
      <c r="I104" t="s">
        <v>127</v>
      </c>
    </row>
    <row r="105" spans="1:9" x14ac:dyDescent="0.2">
      <c r="B105" s="1" t="s">
        <v>60</v>
      </c>
    </row>
    <row r="106" spans="1:9" x14ac:dyDescent="0.2">
      <c r="B106" t="s">
        <v>564</v>
      </c>
    </row>
    <row r="107" spans="1:9" x14ac:dyDescent="0.2">
      <c r="B107" s="1" t="s">
        <v>579</v>
      </c>
      <c r="E107" s="4">
        <v>1</v>
      </c>
      <c r="F107" t="s">
        <v>111</v>
      </c>
      <c r="I107" t="s">
        <v>511</v>
      </c>
    </row>
    <row r="108" spans="1:9" x14ac:dyDescent="0.2">
      <c r="A108" t="s">
        <v>60</v>
      </c>
      <c r="B108" s="1" t="s">
        <v>650</v>
      </c>
      <c r="E108" s="4">
        <v>1</v>
      </c>
      <c r="F108" t="s">
        <v>48</v>
      </c>
      <c r="H108" t="s">
        <v>651</v>
      </c>
      <c r="I108" t="s">
        <v>511</v>
      </c>
    </row>
    <row r="109" spans="1:9" x14ac:dyDescent="0.2">
      <c r="B109" t="s">
        <v>609</v>
      </c>
    </row>
    <row r="110" spans="1:9" x14ac:dyDescent="0.2">
      <c r="B110" s="1" t="s">
        <v>610</v>
      </c>
      <c r="E110" s="4">
        <v>1</v>
      </c>
      <c r="F110" t="s">
        <v>111</v>
      </c>
      <c r="I110" t="s">
        <v>117</v>
      </c>
    </row>
    <row r="111" spans="1:9" x14ac:dyDescent="0.2">
      <c r="A111" t="s">
        <v>60</v>
      </c>
      <c r="B111" t="s">
        <v>646</v>
      </c>
      <c r="E111" s="4">
        <v>1</v>
      </c>
      <c r="F111" t="s">
        <v>48</v>
      </c>
      <c r="H111" t="s">
        <v>647</v>
      </c>
      <c r="I111" t="s">
        <v>117</v>
      </c>
    </row>
    <row r="112" spans="1:9" x14ac:dyDescent="0.2">
      <c r="A112" t="s">
        <v>60</v>
      </c>
      <c r="B112" t="s">
        <v>653</v>
      </c>
      <c r="E112" s="4">
        <v>1</v>
      </c>
      <c r="F112" t="s">
        <v>48</v>
      </c>
      <c r="H112" t="s">
        <v>654</v>
      </c>
      <c r="I112" t="s">
        <v>117</v>
      </c>
    </row>
    <row r="113" spans="1:19" x14ac:dyDescent="0.2">
      <c r="A113" s="15"/>
      <c r="B113" s="15" t="s">
        <v>703</v>
      </c>
      <c r="C113" s="15"/>
      <c r="D113" s="15"/>
      <c r="E113" s="37">
        <v>1</v>
      </c>
      <c r="F113" s="15" t="s">
        <v>48</v>
      </c>
      <c r="G113" s="15"/>
      <c r="H113" s="15" t="s">
        <v>702</v>
      </c>
      <c r="I113" s="15" t="s">
        <v>117</v>
      </c>
      <c r="J113" s="15"/>
      <c r="K113" s="15"/>
      <c r="L113" s="15"/>
      <c r="M113" t="str">
        <f>CONCATENATE("USGS image: ",H113)</f>
        <v>USGS image: andrena-hippotes-female-back-maryland_2013-05-31-183340</v>
      </c>
      <c r="N113" s="15"/>
    </row>
    <row r="114" spans="1:19" x14ac:dyDescent="0.2">
      <c r="A114" s="15"/>
      <c r="B114" s="15" t="s">
        <v>704</v>
      </c>
      <c r="C114" s="15"/>
      <c r="D114" s="15"/>
      <c r="E114" s="37">
        <v>1</v>
      </c>
      <c r="F114" s="15" t="s">
        <v>48</v>
      </c>
      <c r="G114" s="15"/>
      <c r="H114" s="15" t="s">
        <v>705</v>
      </c>
      <c r="I114" s="15" t="s">
        <v>117</v>
      </c>
      <c r="J114" s="15"/>
      <c r="K114" s="15"/>
      <c r="L114" s="15"/>
      <c r="M114" t="str">
        <f>CONCATENATE("USGS image: ",H114)</f>
        <v>USGS image: andrena-hippotes-female-face_2012-08-02-190302</v>
      </c>
      <c r="N114" s="15"/>
    </row>
    <row r="115" spans="1:19" x14ac:dyDescent="0.2">
      <c r="A115" s="15"/>
      <c r="B115" s="15" t="s">
        <v>706</v>
      </c>
      <c r="C115" s="15"/>
      <c r="D115" s="15"/>
      <c r="E115" s="37">
        <v>1</v>
      </c>
      <c r="F115" s="15" t="s">
        <v>48</v>
      </c>
      <c r="G115" s="15"/>
      <c r="H115" s="15" t="s">
        <v>701</v>
      </c>
      <c r="I115" s="15" t="s">
        <v>117</v>
      </c>
      <c r="J115" s="15"/>
      <c r="K115" s="15"/>
      <c r="L115" s="15"/>
      <c r="M115" t="str">
        <f>CONCATENATE("USGS image: ",H115)</f>
        <v>USGS image: andrena-hippotes-female-side_2012-08-02-191103</v>
      </c>
      <c r="N115" s="15"/>
    </row>
    <row r="116" spans="1:19" x14ac:dyDescent="0.2">
      <c r="A116" s="32" t="s">
        <v>685</v>
      </c>
      <c r="B116" s="32" t="s">
        <v>687</v>
      </c>
      <c r="C116" s="32"/>
      <c r="D116" s="32"/>
      <c r="E116" s="33"/>
      <c r="F116" s="32"/>
      <c r="G116" s="32"/>
      <c r="H116" s="32"/>
      <c r="I116" s="32"/>
      <c r="J116" s="32"/>
      <c r="K116" s="32"/>
      <c r="L116" s="32"/>
      <c r="M116" s="32"/>
    </row>
    <row r="117" spans="1:19" x14ac:dyDescent="0.2">
      <c r="A117" t="s">
        <v>664</v>
      </c>
      <c r="B117" t="str">
        <f>IF(I117="###", CONCATENATE("##", J117), J117)</f>
        <v>T2_bands</v>
      </c>
      <c r="E117" s="4">
        <v>1</v>
      </c>
      <c r="F117" t="s">
        <v>686</v>
      </c>
      <c r="H117">
        <v>1</v>
      </c>
      <c r="I117" t="s">
        <v>664</v>
      </c>
      <c r="J117" s="14" t="s">
        <v>136</v>
      </c>
      <c r="K117" t="s">
        <v>198</v>
      </c>
      <c r="L117" t="str">
        <f>IF(I117="###",CONCATENATE("#",S117,),S117)</f>
        <v>resources/images/Abdomen_T2_bands_complete,html</v>
      </c>
      <c r="P117" t="str">
        <f>CONCATENATE("Abdomen_",J117,"_",K117)</f>
        <v>Abdomen_T2_bands_complete</v>
      </c>
      <c r="S117" t="str">
        <f>CONCATENATE("resources/images/",P117,",html")</f>
        <v>resources/images/Abdomen_T2_bands_complete,html</v>
      </c>
    </row>
    <row r="118" spans="1:19" x14ac:dyDescent="0.2">
      <c r="A118" t="s">
        <v>664</v>
      </c>
      <c r="B118" t="str">
        <f t="shared" ref="B118:B181" si="0">IF(I118="###", CONCATENATE("##", J118), J118)</f>
        <v>T2_bands</v>
      </c>
      <c r="E118" s="4">
        <v>1</v>
      </c>
      <c r="F118" t="s">
        <v>686</v>
      </c>
      <c r="H118">
        <v>2</v>
      </c>
      <c r="I118" t="s">
        <v>664</v>
      </c>
      <c r="J118" s="14" t="s">
        <v>136</v>
      </c>
      <c r="K118" t="s">
        <v>253</v>
      </c>
      <c r="L118" t="str">
        <f t="shared" ref="L118:L181" si="1">IF(I118="###",CONCATENATE("#",S118,),S118)</f>
        <v>resources/imagesAbdomen_T2_bands_broad,html</v>
      </c>
      <c r="P118" t="str">
        <f>CONCATENATE("Abdomen_",J118,"_",K118)</f>
        <v>Abdomen_T2_bands_broad</v>
      </c>
      <c r="S118" t="str">
        <f t="shared" ref="S118:S181" si="2">CONCATENATE("resources/images",P118,",html")</f>
        <v>resources/imagesAbdomen_T2_bands_broad,html</v>
      </c>
    </row>
    <row r="119" spans="1:19" x14ac:dyDescent="0.2">
      <c r="A119" t="s">
        <v>664</v>
      </c>
      <c r="B119" t="str">
        <f t="shared" si="0"/>
        <v>T2_bands</v>
      </c>
      <c r="E119" s="4">
        <v>1</v>
      </c>
      <c r="F119" t="s">
        <v>686</v>
      </c>
      <c r="H119">
        <v>3</v>
      </c>
      <c r="I119" t="s">
        <v>664</v>
      </c>
      <c r="J119" s="14" t="s">
        <v>136</v>
      </c>
      <c r="K119" t="s">
        <v>404</v>
      </c>
      <c r="L119" t="str">
        <f t="shared" si="1"/>
        <v>resources/imagesAbdomen_T2_bands_narrow,html</v>
      </c>
      <c r="P119" t="str">
        <f>CONCATENATE("Abdomen_",J119,"_",K119)</f>
        <v>Abdomen_T2_bands_narrow</v>
      </c>
      <c r="S119" t="str">
        <f t="shared" si="2"/>
        <v>resources/imagesAbdomen_T2_bands_narrow,html</v>
      </c>
    </row>
    <row r="120" spans="1:19" x14ac:dyDescent="0.2">
      <c r="A120" t="s">
        <v>664</v>
      </c>
      <c r="B120" t="str">
        <f t="shared" si="0"/>
        <v>T2_bands</v>
      </c>
      <c r="E120" s="4">
        <v>1</v>
      </c>
      <c r="F120" t="s">
        <v>686</v>
      </c>
      <c r="H120">
        <v>4</v>
      </c>
      <c r="I120" t="s">
        <v>664</v>
      </c>
      <c r="J120" s="14" t="s">
        <v>136</v>
      </c>
      <c r="K120" t="s">
        <v>58</v>
      </c>
      <c r="L120" t="str">
        <f t="shared" si="1"/>
        <v>resources/imagesAbdomen_T2_bands_absent,html</v>
      </c>
      <c r="P120" t="str">
        <f>CONCATENATE("Abdomen_",J120,"_",K120)</f>
        <v>Abdomen_T2_bands_absent</v>
      </c>
      <c r="S120" t="str">
        <f t="shared" si="2"/>
        <v>resources/imagesAbdomen_T2_bands_absent,html</v>
      </c>
    </row>
    <row r="121" spans="1:19" x14ac:dyDescent="0.2">
      <c r="A121" t="s">
        <v>664</v>
      </c>
      <c r="B121" t="str">
        <f t="shared" si="0"/>
        <v>T2_texture</v>
      </c>
      <c r="E121" s="4">
        <v>1</v>
      </c>
      <c r="F121" t="s">
        <v>686</v>
      </c>
      <c r="H121">
        <v>5</v>
      </c>
      <c r="I121" t="s">
        <v>664</v>
      </c>
      <c r="J121" s="14" t="s">
        <v>171</v>
      </c>
      <c r="K121" t="s">
        <v>173</v>
      </c>
      <c r="L121" t="str">
        <f t="shared" si="1"/>
        <v>resources/imagesAbdomen_T2_texture_granular,html</v>
      </c>
      <c r="P121" t="str">
        <f>CONCATENATE("Abdomen_",J121,"_",K121)</f>
        <v>Abdomen_T2_texture_granular</v>
      </c>
      <c r="S121" t="str">
        <f t="shared" si="2"/>
        <v>resources/imagesAbdomen_T2_texture_granular,html</v>
      </c>
    </row>
    <row r="122" spans="1:19" x14ac:dyDescent="0.2">
      <c r="A122" t="s">
        <v>664</v>
      </c>
      <c r="B122" t="str">
        <f t="shared" si="0"/>
        <v>T2_texture</v>
      </c>
      <c r="E122" s="4">
        <v>1</v>
      </c>
      <c r="F122" t="s">
        <v>686</v>
      </c>
      <c r="H122">
        <v>6</v>
      </c>
      <c r="I122" t="s">
        <v>664</v>
      </c>
      <c r="J122" s="14" t="s">
        <v>171</v>
      </c>
      <c r="K122" t="s">
        <v>173</v>
      </c>
      <c r="L122" t="str">
        <f t="shared" si="1"/>
        <v>resources/imagesAbdomen_T2_texture_granular_2,html</v>
      </c>
      <c r="P122" t="s">
        <v>669</v>
      </c>
      <c r="S122" t="str">
        <f t="shared" si="2"/>
        <v>resources/imagesAbdomen_T2_texture_granular_2,html</v>
      </c>
    </row>
    <row r="123" spans="1:19" x14ac:dyDescent="0.2">
      <c r="A123" t="s">
        <v>664</v>
      </c>
      <c r="B123" t="str">
        <f t="shared" si="0"/>
        <v>T2_texture</v>
      </c>
      <c r="E123" s="4">
        <v>1</v>
      </c>
      <c r="F123" t="s">
        <v>686</v>
      </c>
      <c r="H123">
        <v>7</v>
      </c>
      <c r="I123" t="s">
        <v>664</v>
      </c>
      <c r="J123" s="14" t="s">
        <v>171</v>
      </c>
      <c r="K123" t="s">
        <v>287</v>
      </c>
      <c r="L123" t="str">
        <f t="shared" si="1"/>
        <v>resources/imagesAbdomen_T2_texture_smooth,html</v>
      </c>
      <c r="P123" t="str">
        <f t="shared" ref="P123:P132" si="3">CONCATENATE("Abdomen_",J123,"_",K123)</f>
        <v>Abdomen_T2_texture_smooth</v>
      </c>
      <c r="S123" t="str">
        <f t="shared" si="2"/>
        <v>resources/imagesAbdomen_T2_texture_smooth,html</v>
      </c>
    </row>
    <row r="124" spans="1:19" x14ac:dyDescent="0.2">
      <c r="A124" t="s">
        <v>685</v>
      </c>
      <c r="B124" t="str">
        <f t="shared" si="0"/>
        <v>##T2_pits</v>
      </c>
      <c r="E124" s="4">
        <v>1</v>
      </c>
      <c r="F124" t="s">
        <v>686</v>
      </c>
      <c r="H124" s="32">
        <v>8</v>
      </c>
      <c r="I124" s="32" t="s">
        <v>685</v>
      </c>
      <c r="J124" s="34" t="s">
        <v>135</v>
      </c>
      <c r="K124" s="32" t="s">
        <v>58</v>
      </c>
      <c r="L124" t="str">
        <f t="shared" si="1"/>
        <v>#resources/imagesAbdomen_T2_pits_absent,html</v>
      </c>
      <c r="M124" s="32"/>
      <c r="N124" s="32"/>
      <c r="P124" s="32" t="str">
        <f t="shared" si="3"/>
        <v>Abdomen_T2_pits_absent</v>
      </c>
      <c r="S124" t="str">
        <f t="shared" si="2"/>
        <v>resources/imagesAbdomen_T2_pits_absent,html</v>
      </c>
    </row>
    <row r="125" spans="1:19" x14ac:dyDescent="0.2">
      <c r="A125" t="s">
        <v>667</v>
      </c>
      <c r="B125" t="str">
        <f t="shared" si="0"/>
        <v>T2_pits</v>
      </c>
      <c r="E125" s="4">
        <v>1</v>
      </c>
      <c r="F125" t="s">
        <v>686</v>
      </c>
      <c r="H125">
        <v>9</v>
      </c>
      <c r="I125" t="s">
        <v>667</v>
      </c>
      <c r="J125" s="13" t="s">
        <v>135</v>
      </c>
      <c r="K125" t="s">
        <v>247</v>
      </c>
      <c r="L125" t="str">
        <f t="shared" si="1"/>
        <v>resources/imagesAbdomen_T2_pits_dense,html</v>
      </c>
      <c r="P125" t="str">
        <f t="shared" si="3"/>
        <v>Abdomen_T2_pits_dense</v>
      </c>
      <c r="S125" t="str">
        <f t="shared" si="2"/>
        <v>resources/imagesAbdomen_T2_pits_dense,html</v>
      </c>
    </row>
    <row r="126" spans="1:19" x14ac:dyDescent="0.2">
      <c r="A126" t="s">
        <v>664</v>
      </c>
      <c r="B126" t="str">
        <f t="shared" si="0"/>
        <v>T2_pits</v>
      </c>
      <c r="E126" s="4">
        <v>1</v>
      </c>
      <c r="F126" t="s">
        <v>686</v>
      </c>
      <c r="H126">
        <v>10</v>
      </c>
      <c r="I126" t="s">
        <v>664</v>
      </c>
      <c r="J126" s="13" t="s">
        <v>135</v>
      </c>
      <c r="K126" s="26" t="s">
        <v>326</v>
      </c>
      <c r="L126" t="str">
        <f t="shared" si="1"/>
        <v>resources/imagesAbdomen_T2_pits_1-3,html</v>
      </c>
      <c r="P126" t="str">
        <f t="shared" si="3"/>
        <v>Abdomen_T2_pits_1-3</v>
      </c>
      <c r="S126" t="str">
        <f t="shared" si="2"/>
        <v>resources/imagesAbdomen_T2_pits_1-3,html</v>
      </c>
    </row>
    <row r="127" spans="1:19" x14ac:dyDescent="0.2">
      <c r="A127" t="s">
        <v>664</v>
      </c>
      <c r="B127" t="str">
        <f t="shared" si="0"/>
        <v>T2_pits</v>
      </c>
      <c r="E127" s="4">
        <v>1</v>
      </c>
      <c r="F127" t="s">
        <v>686</v>
      </c>
      <c r="H127">
        <v>11</v>
      </c>
      <c r="I127" t="s">
        <v>664</v>
      </c>
      <c r="J127" s="13" t="s">
        <v>135</v>
      </c>
      <c r="K127" t="s">
        <v>406</v>
      </c>
      <c r="L127" t="str">
        <f t="shared" si="1"/>
        <v>resources/imagesAbdomen_T2_pits_3+,html</v>
      </c>
      <c r="P127" t="str">
        <f t="shared" si="3"/>
        <v>Abdomen_T2_pits_3+</v>
      </c>
      <c r="S127" t="str">
        <f t="shared" si="2"/>
        <v>resources/imagesAbdomen_T2_pits_3+,html</v>
      </c>
    </row>
    <row r="128" spans="1:19" x14ac:dyDescent="0.2">
      <c r="A128" t="s">
        <v>685</v>
      </c>
      <c r="B128" t="str">
        <f t="shared" si="0"/>
        <v>##Abd_integument</v>
      </c>
      <c r="E128" s="4">
        <v>1</v>
      </c>
      <c r="F128" t="s">
        <v>686</v>
      </c>
      <c r="H128" s="32">
        <v>12</v>
      </c>
      <c r="I128" s="32" t="s">
        <v>685</v>
      </c>
      <c r="J128" s="35" t="s">
        <v>137</v>
      </c>
      <c r="K128" s="32" t="s">
        <v>208</v>
      </c>
      <c r="L128" t="str">
        <f t="shared" si="1"/>
        <v>#resources/imagesAbdomen_Abd_integument_dark,html</v>
      </c>
      <c r="M128" s="32"/>
      <c r="N128" s="32"/>
      <c r="P128" s="32" t="str">
        <f t="shared" si="3"/>
        <v>Abdomen_Abd_integument_dark</v>
      </c>
      <c r="S128" t="str">
        <f t="shared" si="2"/>
        <v>resources/imagesAbdomen_Abd_integument_dark,html</v>
      </c>
    </row>
    <row r="129" spans="1:19" x14ac:dyDescent="0.2">
      <c r="A129" t="s">
        <v>685</v>
      </c>
      <c r="B129" t="str">
        <f t="shared" si="0"/>
        <v>##Abd_integument</v>
      </c>
      <c r="E129" s="4">
        <v>1</v>
      </c>
      <c r="F129" t="s">
        <v>686</v>
      </c>
      <c r="H129" s="32">
        <v>13</v>
      </c>
      <c r="I129" s="32" t="s">
        <v>685</v>
      </c>
      <c r="J129" s="35" t="s">
        <v>137</v>
      </c>
      <c r="K129" s="32" t="s">
        <v>407</v>
      </c>
      <c r="L129" t="str">
        <f t="shared" si="1"/>
        <v>#resources/imagesAbdomen_Abd_integument_faint,html</v>
      </c>
      <c r="M129" s="32"/>
      <c r="N129" s="32"/>
      <c r="P129" s="32" t="str">
        <f t="shared" si="3"/>
        <v>Abdomen_Abd_integument_faint</v>
      </c>
      <c r="S129" t="str">
        <f t="shared" si="2"/>
        <v>resources/imagesAbdomen_Abd_integument_faint,html</v>
      </c>
    </row>
    <row r="130" spans="1:19" x14ac:dyDescent="0.2">
      <c r="A130" t="s">
        <v>664</v>
      </c>
      <c r="B130" t="str">
        <f t="shared" si="0"/>
        <v>Abd_integument</v>
      </c>
      <c r="E130" s="4">
        <v>1</v>
      </c>
      <c r="F130" t="s">
        <v>686</v>
      </c>
      <c r="H130">
        <v>14</v>
      </c>
      <c r="I130" t="s">
        <v>664</v>
      </c>
      <c r="J130" s="14" t="s">
        <v>137</v>
      </c>
      <c r="K130" t="s">
        <v>305</v>
      </c>
      <c r="L130" t="str">
        <f t="shared" si="1"/>
        <v>resources/imagesAbdomen_Abd_integument_metallic,html</v>
      </c>
      <c r="P130" t="str">
        <f t="shared" si="3"/>
        <v>Abdomen_Abd_integument_metallic</v>
      </c>
      <c r="S130" t="str">
        <f t="shared" si="2"/>
        <v>resources/imagesAbdomen_Abd_integument_metallic,html</v>
      </c>
    </row>
    <row r="131" spans="1:19" x14ac:dyDescent="0.2">
      <c r="A131" t="s">
        <v>664</v>
      </c>
      <c r="B131" t="str">
        <f t="shared" si="0"/>
        <v>Abd_integument</v>
      </c>
      <c r="E131" s="4">
        <v>1</v>
      </c>
      <c r="F131" t="s">
        <v>686</v>
      </c>
      <c r="H131">
        <v>15</v>
      </c>
      <c r="I131" t="s">
        <v>664</v>
      </c>
      <c r="J131" s="14" t="s">
        <v>137</v>
      </c>
      <c r="K131" t="s">
        <v>408</v>
      </c>
      <c r="L131" t="str">
        <f t="shared" si="1"/>
        <v>resources/imagesAbdomen_Abd_integument_red,html</v>
      </c>
      <c r="P131" t="str">
        <f t="shared" si="3"/>
        <v>Abdomen_Abd_integument_red</v>
      </c>
      <c r="S131" t="str">
        <f t="shared" si="2"/>
        <v>resources/imagesAbdomen_Abd_integument_red,html</v>
      </c>
    </row>
    <row r="132" spans="1:19" x14ac:dyDescent="0.2">
      <c r="A132" t="s">
        <v>667</v>
      </c>
      <c r="B132" t="str">
        <f t="shared" si="0"/>
        <v>Pyg_plate</v>
      </c>
      <c r="E132" s="4">
        <v>1</v>
      </c>
      <c r="F132" t="s">
        <v>686</v>
      </c>
      <c r="H132">
        <v>16</v>
      </c>
      <c r="I132" t="s">
        <v>667</v>
      </c>
      <c r="J132" s="14" t="s">
        <v>138</v>
      </c>
      <c r="K132" t="s">
        <v>218</v>
      </c>
      <c r="L132" t="str">
        <f t="shared" si="1"/>
        <v>resources/imagesAbdomen_Pyg_plate_present,html</v>
      </c>
      <c r="P132" t="str">
        <f t="shared" si="3"/>
        <v>Abdomen_Pyg_plate_present</v>
      </c>
      <c r="S132" t="str">
        <f t="shared" si="2"/>
        <v>resources/imagesAbdomen_Pyg_plate_present,html</v>
      </c>
    </row>
    <row r="133" spans="1:19" x14ac:dyDescent="0.2">
      <c r="A133" t="s">
        <v>667</v>
      </c>
      <c r="B133" t="str">
        <f t="shared" si="0"/>
        <v>Pyg_plate</v>
      </c>
      <c r="E133" s="4">
        <v>1</v>
      </c>
      <c r="F133" t="s">
        <v>686</v>
      </c>
      <c r="H133">
        <v>17</v>
      </c>
      <c r="I133" t="s">
        <v>667</v>
      </c>
      <c r="J133" s="14" t="s">
        <v>138</v>
      </c>
      <c r="K133" t="s">
        <v>218</v>
      </c>
      <c r="L133" t="str">
        <f t="shared" si="1"/>
        <v>resources/imagesAbdomen_Pyg_plate_present_2,html</v>
      </c>
      <c r="P133" t="s">
        <v>668</v>
      </c>
      <c r="S133" t="str">
        <f t="shared" si="2"/>
        <v>resources/imagesAbdomen_Pyg_plate_present_2,html</v>
      </c>
    </row>
    <row r="134" spans="1:19" x14ac:dyDescent="0.2">
      <c r="A134" t="s">
        <v>685</v>
      </c>
      <c r="B134" t="str">
        <f t="shared" si="0"/>
        <v>##Pyg_plate</v>
      </c>
      <c r="E134" s="4">
        <v>1</v>
      </c>
      <c r="F134" t="s">
        <v>686</v>
      </c>
      <c r="H134" s="32">
        <v>18</v>
      </c>
      <c r="I134" s="32" t="s">
        <v>685</v>
      </c>
      <c r="J134" s="35" t="s">
        <v>138</v>
      </c>
      <c r="K134" s="32" t="s">
        <v>58</v>
      </c>
      <c r="L134" t="str">
        <f t="shared" si="1"/>
        <v>#resources/imagesAbdomen_Pyg_plate_absent,html</v>
      </c>
      <c r="M134" s="32"/>
      <c r="N134" s="32"/>
      <c r="P134" s="32" t="str">
        <f>CONCATENATE("Abdomen_",J134,"_",K134)</f>
        <v>Abdomen_Pyg_plate_absent</v>
      </c>
      <c r="S134" t="str">
        <f t="shared" si="2"/>
        <v>resources/imagesAbdomen_Pyg_plate_absent,html</v>
      </c>
    </row>
    <row r="135" spans="1:19" x14ac:dyDescent="0.2">
      <c r="A135" t="s">
        <v>685</v>
      </c>
      <c r="B135" t="str">
        <f t="shared" si="0"/>
        <v>##T2-4_hair</v>
      </c>
      <c r="E135" s="4">
        <v>1</v>
      </c>
      <c r="F135" t="s">
        <v>686</v>
      </c>
      <c r="H135" s="32">
        <v>19</v>
      </c>
      <c r="I135" s="32" t="s">
        <v>685</v>
      </c>
      <c r="J135" s="35" t="s">
        <v>176</v>
      </c>
      <c r="K135" s="32" t="s">
        <v>177</v>
      </c>
      <c r="L135" t="str">
        <f t="shared" si="1"/>
        <v>#resources/imagesAbdomen_T2-4_hair_pale,html</v>
      </c>
      <c r="M135" s="32"/>
      <c r="N135" s="32"/>
      <c r="P135" s="32" t="str">
        <f>CONCATENATE("Abdomen_",J135,"_",K135)</f>
        <v>Abdomen_T2-4_hair_pale</v>
      </c>
      <c r="S135" t="str">
        <f t="shared" si="2"/>
        <v>resources/imagesAbdomen_T2-4_hair_pale,html</v>
      </c>
    </row>
    <row r="136" spans="1:19" x14ac:dyDescent="0.2">
      <c r="A136" t="s">
        <v>664</v>
      </c>
      <c r="B136" t="str">
        <f t="shared" si="0"/>
        <v>T2-4_hair</v>
      </c>
      <c r="E136" s="4">
        <v>1</v>
      </c>
      <c r="F136" t="s">
        <v>686</v>
      </c>
      <c r="H136">
        <v>20</v>
      </c>
      <c r="I136" t="s">
        <v>664</v>
      </c>
      <c r="J136" s="14" t="s">
        <v>176</v>
      </c>
      <c r="K136" t="s">
        <v>208</v>
      </c>
      <c r="L136" t="str">
        <f t="shared" si="1"/>
        <v>resources/imagesAbdomen_T2-4_hair_dark,html</v>
      </c>
      <c r="P136" t="str">
        <f>CONCATENATE("Abdomen_",J136,"_",K136)</f>
        <v>Abdomen_T2-4_hair_dark</v>
      </c>
      <c r="S136" t="str">
        <f t="shared" si="2"/>
        <v>resources/imagesAbdomen_T2-4_hair_dark,html</v>
      </c>
    </row>
    <row r="137" spans="1:19" x14ac:dyDescent="0.2">
      <c r="A137" t="s">
        <v>685</v>
      </c>
      <c r="B137" t="str">
        <f t="shared" si="0"/>
        <v>##T2-4_hair</v>
      </c>
      <c r="E137" s="4">
        <v>1</v>
      </c>
      <c r="F137" t="s">
        <v>686</v>
      </c>
      <c r="H137" s="32">
        <v>21</v>
      </c>
      <c r="I137" s="32" t="s">
        <v>685</v>
      </c>
      <c r="J137" s="35" t="s">
        <v>176</v>
      </c>
      <c r="K137" s="32" t="s">
        <v>409</v>
      </c>
      <c r="L137" t="str">
        <f t="shared" si="1"/>
        <v>#resources/imagesAbdomen_T2-4_hair_mixed,html</v>
      </c>
      <c r="M137" s="32"/>
      <c r="N137" s="32"/>
      <c r="P137" s="32" t="str">
        <f>CONCATENATE("Abdomen_",J137,"_",K137)</f>
        <v>Abdomen_T2-4_hair_mixed</v>
      </c>
      <c r="S137" t="str">
        <f t="shared" si="2"/>
        <v>resources/imagesAbdomen_T2-4_hair_mixed,html</v>
      </c>
    </row>
    <row r="138" spans="1:19" x14ac:dyDescent="0.2">
      <c r="A138" t="s">
        <v>664</v>
      </c>
      <c r="B138" t="str">
        <f t="shared" si="0"/>
        <v>Flag1_length</v>
      </c>
      <c r="E138" s="4">
        <v>1</v>
      </c>
      <c r="F138" t="s">
        <v>686</v>
      </c>
      <c r="H138">
        <v>22</v>
      </c>
      <c r="I138" t="s">
        <v>664</v>
      </c>
      <c r="J138" s="9" t="s">
        <v>139</v>
      </c>
      <c r="K138" t="s">
        <v>225</v>
      </c>
      <c r="L138" t="str">
        <f t="shared" si="1"/>
        <v>resources/imagesHead_Flag1_length_long,html</v>
      </c>
      <c r="P138" t="str">
        <f t="shared" ref="P138:P143" si="4">CONCATENATE("Head_",J138,"_",K138)</f>
        <v>Head_Flag1_length_long</v>
      </c>
      <c r="S138" t="str">
        <f t="shared" si="2"/>
        <v>resources/imagesHead_Flag1_length_long,html</v>
      </c>
    </row>
    <row r="139" spans="1:19" x14ac:dyDescent="0.2">
      <c r="A139" t="s">
        <v>664</v>
      </c>
      <c r="B139" t="str">
        <f t="shared" si="0"/>
        <v>Flag1_length</v>
      </c>
      <c r="E139" s="4">
        <v>1</v>
      </c>
      <c r="F139" t="s">
        <v>686</v>
      </c>
      <c r="H139">
        <v>23</v>
      </c>
      <c r="I139" t="s">
        <v>664</v>
      </c>
      <c r="J139" s="9" t="s">
        <v>139</v>
      </c>
      <c r="K139" t="s">
        <v>327</v>
      </c>
      <c r="L139" t="str">
        <f t="shared" si="1"/>
        <v>resources/imagesHead_Flag1_length_longer,html</v>
      </c>
      <c r="P139" t="str">
        <f t="shared" si="4"/>
        <v>Head_Flag1_length_longer</v>
      </c>
      <c r="S139" t="str">
        <f t="shared" si="2"/>
        <v>resources/imagesHead_Flag1_length_longer,html</v>
      </c>
    </row>
    <row r="140" spans="1:19" x14ac:dyDescent="0.2">
      <c r="A140" t="s">
        <v>685</v>
      </c>
      <c r="B140" t="str">
        <f t="shared" si="0"/>
        <v>##Clypeus_shape</v>
      </c>
      <c r="E140" s="4">
        <v>1</v>
      </c>
      <c r="F140" t="s">
        <v>686</v>
      </c>
      <c r="H140" s="32">
        <v>24</v>
      </c>
      <c r="I140" s="32" t="s">
        <v>685</v>
      </c>
      <c r="J140" s="34" t="s">
        <v>140</v>
      </c>
      <c r="K140" s="32" t="s">
        <v>179</v>
      </c>
      <c r="L140" t="str">
        <f t="shared" si="1"/>
        <v>#resources/imagesHead_Clypeus_shape_normal,html</v>
      </c>
      <c r="M140" s="32"/>
      <c r="N140" s="32"/>
      <c r="P140" s="32" t="str">
        <f t="shared" si="4"/>
        <v>Head_Clypeus_shape_normal</v>
      </c>
      <c r="S140" t="str">
        <f t="shared" si="2"/>
        <v>resources/imagesHead_Clypeus_shape_normal,html</v>
      </c>
    </row>
    <row r="141" spans="1:19" x14ac:dyDescent="0.2">
      <c r="A141" t="s">
        <v>685</v>
      </c>
      <c r="B141" t="str">
        <f t="shared" si="0"/>
        <v>##Clypeus_shape</v>
      </c>
      <c r="E141" s="4">
        <v>1</v>
      </c>
      <c r="F141" t="s">
        <v>686</v>
      </c>
      <c r="H141" s="32">
        <v>25</v>
      </c>
      <c r="I141" s="32" t="s">
        <v>685</v>
      </c>
      <c r="J141" s="34" t="s">
        <v>140</v>
      </c>
      <c r="K141" s="32" t="s">
        <v>412</v>
      </c>
      <c r="L141" t="str">
        <f t="shared" si="1"/>
        <v>#resources/imagesHead_Clypeus_shape_flat,html</v>
      </c>
      <c r="M141" s="32"/>
      <c r="N141" s="32"/>
      <c r="P141" s="32" t="str">
        <f t="shared" si="4"/>
        <v>Head_Clypeus_shape_flat</v>
      </c>
      <c r="S141" t="str">
        <f t="shared" si="2"/>
        <v>resources/imagesHead_Clypeus_shape_flat,html</v>
      </c>
    </row>
    <row r="142" spans="1:19" x14ac:dyDescent="0.2">
      <c r="A142" t="s">
        <v>685</v>
      </c>
      <c r="B142" t="str">
        <f t="shared" si="0"/>
        <v>##Clypeus_shape</v>
      </c>
      <c r="E142" s="4">
        <v>1</v>
      </c>
      <c r="F142" t="s">
        <v>686</v>
      </c>
      <c r="H142" s="32">
        <v>26</v>
      </c>
      <c r="I142" s="32" t="s">
        <v>685</v>
      </c>
      <c r="J142" s="34" t="s">
        <v>140</v>
      </c>
      <c r="K142" s="32" t="s">
        <v>413</v>
      </c>
      <c r="L142" t="str">
        <f t="shared" si="1"/>
        <v>#resources/imagesHead_Clypeus_shape_bulging,html</v>
      </c>
      <c r="M142" s="32"/>
      <c r="N142" s="32"/>
      <c r="P142" s="32" t="str">
        <f t="shared" si="4"/>
        <v>Head_Clypeus_shape_bulging</v>
      </c>
      <c r="S142" t="str">
        <f t="shared" si="2"/>
        <v>resources/imagesHead_Clypeus_shape_bulging,html</v>
      </c>
    </row>
    <row r="143" spans="1:19" x14ac:dyDescent="0.2">
      <c r="A143" t="s">
        <v>664</v>
      </c>
      <c r="B143" t="str">
        <f t="shared" si="0"/>
        <v>Clypeus_texture</v>
      </c>
      <c r="E143" s="4">
        <v>1</v>
      </c>
      <c r="F143" t="s">
        <v>686</v>
      </c>
      <c r="H143">
        <v>27</v>
      </c>
      <c r="I143" t="s">
        <v>664</v>
      </c>
      <c r="J143" s="11" t="s">
        <v>141</v>
      </c>
      <c r="K143" t="s">
        <v>209</v>
      </c>
      <c r="L143" t="str">
        <f t="shared" si="1"/>
        <v>resources/imagesHead_Clypeus_texture_dull,html</v>
      </c>
      <c r="P143" t="str">
        <f t="shared" si="4"/>
        <v>Head_Clypeus_texture_dull</v>
      </c>
      <c r="S143" t="str">
        <f t="shared" si="2"/>
        <v>resources/imagesHead_Clypeus_texture_dull,html</v>
      </c>
    </row>
    <row r="144" spans="1:19" x14ac:dyDescent="0.2">
      <c r="A144" t="s">
        <v>664</v>
      </c>
      <c r="B144" t="str">
        <f t="shared" si="0"/>
        <v>Clypeus_texture</v>
      </c>
      <c r="E144" s="4">
        <v>1</v>
      </c>
      <c r="F144" t="s">
        <v>686</v>
      </c>
      <c r="H144">
        <v>28</v>
      </c>
      <c r="I144" t="s">
        <v>664</v>
      </c>
      <c r="J144" s="11" t="s">
        <v>141</v>
      </c>
      <c r="K144" t="s">
        <v>209</v>
      </c>
      <c r="L144" t="str">
        <f t="shared" si="1"/>
        <v>resources/imagesHead_Clypeus_texture_dull_2,html</v>
      </c>
      <c r="P144" t="s">
        <v>681</v>
      </c>
      <c r="S144" t="str">
        <f t="shared" si="2"/>
        <v>resources/imagesHead_Clypeus_texture_dull_2,html</v>
      </c>
    </row>
    <row r="145" spans="1:19" x14ac:dyDescent="0.2">
      <c r="A145" t="s">
        <v>664</v>
      </c>
      <c r="B145" t="str">
        <f t="shared" si="0"/>
        <v>Clypeus_texture</v>
      </c>
      <c r="E145" s="4">
        <v>1</v>
      </c>
      <c r="F145" t="s">
        <v>686</v>
      </c>
      <c r="H145">
        <v>29</v>
      </c>
      <c r="I145" t="s">
        <v>664</v>
      </c>
      <c r="J145" s="11" t="s">
        <v>141</v>
      </c>
      <c r="K145" t="s">
        <v>297</v>
      </c>
      <c r="L145" t="str">
        <f t="shared" si="1"/>
        <v>resources/imagesHead_Clypeus_texture_shinydull,html</v>
      </c>
      <c r="P145" t="str">
        <f>CONCATENATE("Head_",J145,"_",K145)</f>
        <v>Head_Clypeus_texture_shinydull</v>
      </c>
      <c r="S145" t="str">
        <f t="shared" si="2"/>
        <v>resources/imagesHead_Clypeus_texture_shinydull,html</v>
      </c>
    </row>
    <row r="146" spans="1:19" x14ac:dyDescent="0.2">
      <c r="A146" t="s">
        <v>664</v>
      </c>
      <c r="B146" t="str">
        <f t="shared" si="0"/>
        <v>Clypeus_texture</v>
      </c>
      <c r="E146" s="4">
        <v>1</v>
      </c>
      <c r="F146" t="s">
        <v>686</v>
      </c>
      <c r="H146">
        <v>30</v>
      </c>
      <c r="I146" t="s">
        <v>664</v>
      </c>
      <c r="J146" s="11" t="s">
        <v>141</v>
      </c>
      <c r="K146" t="s">
        <v>414</v>
      </c>
      <c r="L146" t="str">
        <f t="shared" si="1"/>
        <v>resources/imagesHead_Clypeus_texture_shiny,html</v>
      </c>
      <c r="P146" t="str">
        <f>CONCATENATE("Head_",J146,"_",K146)</f>
        <v>Head_Clypeus_texture_shiny</v>
      </c>
      <c r="S146" t="str">
        <f t="shared" si="2"/>
        <v>resources/imagesHead_Clypeus_texture_shiny,html</v>
      </c>
    </row>
    <row r="147" spans="1:19" x14ac:dyDescent="0.2">
      <c r="A147" t="s">
        <v>664</v>
      </c>
      <c r="B147" t="str">
        <f t="shared" si="0"/>
        <v>Clypeus_midline</v>
      </c>
      <c r="E147" s="4">
        <v>1</v>
      </c>
      <c r="F147" t="s">
        <v>686</v>
      </c>
      <c r="H147">
        <v>31</v>
      </c>
      <c r="I147" t="s">
        <v>664</v>
      </c>
      <c r="J147" s="11" t="s">
        <v>142</v>
      </c>
      <c r="K147" t="s">
        <v>218</v>
      </c>
      <c r="L147" t="str">
        <f t="shared" si="1"/>
        <v>resources/imagesHead_Clypeus_midline_present_2,html</v>
      </c>
      <c r="P147" t="s">
        <v>684</v>
      </c>
      <c r="S147" t="str">
        <f t="shared" si="2"/>
        <v>resources/imagesHead_Clypeus_midline_present_2,html</v>
      </c>
    </row>
    <row r="148" spans="1:19" x14ac:dyDescent="0.2">
      <c r="A148" t="s">
        <v>664</v>
      </c>
      <c r="B148" t="str">
        <f t="shared" si="0"/>
        <v>Clypeus_midline</v>
      </c>
      <c r="E148" s="4">
        <v>1</v>
      </c>
      <c r="F148" t="s">
        <v>686</v>
      </c>
      <c r="H148">
        <v>32</v>
      </c>
      <c r="I148" t="s">
        <v>664</v>
      </c>
      <c r="J148" s="11" t="s">
        <v>142</v>
      </c>
      <c r="K148" t="s">
        <v>218</v>
      </c>
      <c r="L148" t="str">
        <f t="shared" si="1"/>
        <v>resources/imagesHead_Clypeus_midline_present,html</v>
      </c>
      <c r="P148" t="str">
        <f t="shared" ref="P148:P163" si="5">CONCATENATE("Head_",J148,"_",K148)</f>
        <v>Head_Clypeus_midline_present</v>
      </c>
      <c r="S148" t="str">
        <f t="shared" si="2"/>
        <v>resources/imagesHead_Clypeus_midline_present,html</v>
      </c>
    </row>
    <row r="149" spans="1:19" x14ac:dyDescent="0.2">
      <c r="A149" t="s">
        <v>685</v>
      </c>
      <c r="B149" t="str">
        <f t="shared" si="0"/>
        <v>##Clypeus_midline</v>
      </c>
      <c r="E149" s="4">
        <v>1</v>
      </c>
      <c r="F149" t="s">
        <v>686</v>
      </c>
      <c r="H149" s="32">
        <v>33</v>
      </c>
      <c r="I149" s="32" t="s">
        <v>685</v>
      </c>
      <c r="J149" s="35" t="s">
        <v>142</v>
      </c>
      <c r="K149" s="32" t="s">
        <v>58</v>
      </c>
      <c r="L149" t="str">
        <f t="shared" si="1"/>
        <v>#resources/imagesHead_Clypeus_midline_absent,html</v>
      </c>
      <c r="M149" s="32"/>
      <c r="N149" s="32"/>
      <c r="P149" s="32" t="str">
        <f t="shared" si="5"/>
        <v>Head_Clypeus_midline_absent</v>
      </c>
      <c r="S149" t="str">
        <f t="shared" si="2"/>
        <v>resources/imagesHead_Clypeus_midline_absent,html</v>
      </c>
    </row>
    <row r="150" spans="1:19" x14ac:dyDescent="0.2">
      <c r="A150" t="s">
        <v>664</v>
      </c>
      <c r="B150" t="str">
        <f t="shared" si="0"/>
        <v>Fovea_color</v>
      </c>
      <c r="E150" s="4">
        <v>1</v>
      </c>
      <c r="F150" t="s">
        <v>686</v>
      </c>
      <c r="H150">
        <v>34</v>
      </c>
      <c r="I150" t="s">
        <v>664</v>
      </c>
      <c r="J150" s="11" t="s">
        <v>143</v>
      </c>
      <c r="K150" t="s">
        <v>177</v>
      </c>
      <c r="L150" t="str">
        <f t="shared" si="1"/>
        <v>resources/imagesHead_Fovea_color_pale,html</v>
      </c>
      <c r="P150" t="str">
        <f t="shared" si="5"/>
        <v>Head_Fovea_color_pale</v>
      </c>
      <c r="S150" t="str">
        <f t="shared" si="2"/>
        <v>resources/imagesHead_Fovea_color_pale,html</v>
      </c>
    </row>
    <row r="151" spans="1:19" x14ac:dyDescent="0.2">
      <c r="A151" t="s">
        <v>664</v>
      </c>
      <c r="B151" t="str">
        <f t="shared" si="0"/>
        <v>Fovea_color</v>
      </c>
      <c r="E151" s="4">
        <v>1</v>
      </c>
      <c r="F151" t="s">
        <v>686</v>
      </c>
      <c r="H151">
        <v>35</v>
      </c>
      <c r="I151" t="s">
        <v>664</v>
      </c>
      <c r="J151" s="11" t="s">
        <v>143</v>
      </c>
      <c r="K151" t="s">
        <v>415</v>
      </c>
      <c r="L151" t="str">
        <f t="shared" si="1"/>
        <v>resources/imagesHead_Fovea_color_darkpale,html</v>
      </c>
      <c r="P151" t="str">
        <f t="shared" si="5"/>
        <v>Head_Fovea_color_darkpale</v>
      </c>
      <c r="S151" t="str">
        <f t="shared" si="2"/>
        <v>resources/imagesHead_Fovea_color_darkpale,html</v>
      </c>
    </row>
    <row r="152" spans="1:19" x14ac:dyDescent="0.2">
      <c r="A152" t="s">
        <v>664</v>
      </c>
      <c r="B152" t="str">
        <f t="shared" si="0"/>
        <v>Fovea_color</v>
      </c>
      <c r="E152" s="4">
        <v>1</v>
      </c>
      <c r="F152" t="s">
        <v>686</v>
      </c>
      <c r="H152">
        <v>36</v>
      </c>
      <c r="I152" t="s">
        <v>664</v>
      </c>
      <c r="J152" s="11" t="s">
        <v>143</v>
      </c>
      <c r="K152" t="s">
        <v>208</v>
      </c>
      <c r="L152" t="str">
        <f t="shared" si="1"/>
        <v>resources/imagesHead_Fovea_color_dark,html</v>
      </c>
      <c r="P152" t="str">
        <f t="shared" si="5"/>
        <v>Head_Fovea_color_dark</v>
      </c>
      <c r="S152" t="str">
        <f t="shared" si="2"/>
        <v>resources/imagesHead_Fovea_color_dark,html</v>
      </c>
    </row>
    <row r="153" spans="1:19" x14ac:dyDescent="0.2">
      <c r="A153" t="s">
        <v>685</v>
      </c>
      <c r="B153" t="str">
        <f t="shared" si="0"/>
        <v>##Fovea_depth</v>
      </c>
      <c r="E153" s="4">
        <v>1</v>
      </c>
      <c r="F153" t="s">
        <v>686</v>
      </c>
      <c r="H153" s="32">
        <v>37</v>
      </c>
      <c r="I153" s="32" t="s">
        <v>685</v>
      </c>
      <c r="J153" s="35" t="s">
        <v>144</v>
      </c>
      <c r="K153" s="32" t="s">
        <v>211</v>
      </c>
      <c r="L153" t="str">
        <f t="shared" si="1"/>
        <v>#resources/imagesHead_Fovea_depth_shallow,html</v>
      </c>
      <c r="M153" s="32"/>
      <c r="N153" s="32"/>
      <c r="P153" s="32" t="str">
        <f t="shared" si="5"/>
        <v>Head_Fovea_depth_shallow</v>
      </c>
      <c r="S153" t="str">
        <f t="shared" si="2"/>
        <v>resources/imagesHead_Fovea_depth_shallow,html</v>
      </c>
    </row>
    <row r="154" spans="1:19" x14ac:dyDescent="0.2">
      <c r="A154" t="s">
        <v>664</v>
      </c>
      <c r="B154" t="str">
        <f t="shared" si="0"/>
        <v>Fovea_depth</v>
      </c>
      <c r="E154" s="4">
        <v>1</v>
      </c>
      <c r="F154" t="s">
        <v>686</v>
      </c>
      <c r="H154">
        <v>38</v>
      </c>
      <c r="I154" t="s">
        <v>664</v>
      </c>
      <c r="J154" s="11" t="s">
        <v>144</v>
      </c>
      <c r="K154" t="s">
        <v>290</v>
      </c>
      <c r="L154" t="str">
        <f t="shared" si="1"/>
        <v>resources/imagesHead_Fovea_depth_moderate,html</v>
      </c>
      <c r="P154" t="str">
        <f t="shared" si="5"/>
        <v>Head_Fovea_depth_moderate</v>
      </c>
      <c r="S154" t="str">
        <f t="shared" si="2"/>
        <v>resources/imagesHead_Fovea_depth_moderate,html</v>
      </c>
    </row>
    <row r="155" spans="1:19" x14ac:dyDescent="0.2">
      <c r="A155" t="s">
        <v>664</v>
      </c>
      <c r="B155" t="str">
        <f t="shared" si="0"/>
        <v>Fovea_depth</v>
      </c>
      <c r="E155" s="4">
        <v>1</v>
      </c>
      <c r="F155" t="s">
        <v>686</v>
      </c>
      <c r="H155">
        <v>39</v>
      </c>
      <c r="I155" t="s">
        <v>664</v>
      </c>
      <c r="J155" s="11" t="s">
        <v>144</v>
      </c>
      <c r="K155" t="s">
        <v>416</v>
      </c>
      <c r="L155" t="str">
        <f t="shared" si="1"/>
        <v>resources/imagesHead_Fovea_depth_deep,html</v>
      </c>
      <c r="P155" t="str">
        <f t="shared" si="5"/>
        <v>Head_Fovea_depth_deep</v>
      </c>
      <c r="S155" t="str">
        <f t="shared" si="2"/>
        <v>resources/imagesHead_Fovea_depth_deep,html</v>
      </c>
    </row>
    <row r="156" spans="1:19" x14ac:dyDescent="0.2">
      <c r="A156" t="s">
        <v>685</v>
      </c>
      <c r="B156" t="str">
        <f t="shared" si="0"/>
        <v>##Fovea_length</v>
      </c>
      <c r="E156" s="4">
        <v>1</v>
      </c>
      <c r="F156" t="s">
        <v>686</v>
      </c>
      <c r="H156" s="32">
        <v>40</v>
      </c>
      <c r="I156" s="32" t="s">
        <v>685</v>
      </c>
      <c r="J156" s="35" t="s">
        <v>145</v>
      </c>
      <c r="K156" s="32" t="s">
        <v>207</v>
      </c>
      <c r="L156" t="str">
        <f t="shared" si="1"/>
        <v>#resources/imagesHead_Fovea_length_short,html</v>
      </c>
      <c r="M156" s="32"/>
      <c r="N156" s="32"/>
      <c r="P156" s="32" t="str">
        <f t="shared" si="5"/>
        <v>Head_Fovea_length_short</v>
      </c>
      <c r="S156" t="str">
        <f t="shared" si="2"/>
        <v>resources/imagesHead_Fovea_length_short,html</v>
      </c>
    </row>
    <row r="157" spans="1:19" x14ac:dyDescent="0.2">
      <c r="A157" t="s">
        <v>664</v>
      </c>
      <c r="B157" t="str">
        <f t="shared" si="0"/>
        <v>Fovea_length</v>
      </c>
      <c r="E157" s="4">
        <v>1</v>
      </c>
      <c r="F157" t="s">
        <v>686</v>
      </c>
      <c r="H157">
        <v>41</v>
      </c>
      <c r="I157" t="s">
        <v>664</v>
      </c>
      <c r="J157" s="11" t="s">
        <v>145</v>
      </c>
      <c r="K157" t="s">
        <v>290</v>
      </c>
      <c r="L157" t="str">
        <f t="shared" si="1"/>
        <v>resources/imagesHead_Fovea_length_moderate,html</v>
      </c>
      <c r="P157" t="str">
        <f t="shared" si="5"/>
        <v>Head_Fovea_length_moderate</v>
      </c>
      <c r="S157" t="str">
        <f t="shared" si="2"/>
        <v>resources/imagesHead_Fovea_length_moderate,html</v>
      </c>
    </row>
    <row r="158" spans="1:19" x14ac:dyDescent="0.2">
      <c r="A158" t="s">
        <v>664</v>
      </c>
      <c r="B158" t="str">
        <f t="shared" si="0"/>
        <v>Fovea_length</v>
      </c>
      <c r="E158" s="4">
        <v>1</v>
      </c>
      <c r="F158" t="s">
        <v>686</v>
      </c>
      <c r="H158">
        <v>42</v>
      </c>
      <c r="I158" t="s">
        <v>664</v>
      </c>
      <c r="J158" s="11" t="s">
        <v>145</v>
      </c>
      <c r="K158" t="s">
        <v>225</v>
      </c>
      <c r="L158" t="str">
        <f t="shared" si="1"/>
        <v>resources/imagesHead_Fovea_length_long,html</v>
      </c>
      <c r="P158" t="str">
        <f t="shared" si="5"/>
        <v>Head_Fovea_length_long</v>
      </c>
      <c r="S158" t="str">
        <f t="shared" si="2"/>
        <v>resources/imagesHead_Fovea_length_long,html</v>
      </c>
    </row>
    <row r="159" spans="1:19" x14ac:dyDescent="0.2">
      <c r="A159" t="s">
        <v>685</v>
      </c>
      <c r="B159" t="str">
        <f t="shared" si="0"/>
        <v>##Fovea_length</v>
      </c>
      <c r="E159" s="4">
        <v>1</v>
      </c>
      <c r="F159" t="s">
        <v>686</v>
      </c>
      <c r="H159" s="32">
        <v>43</v>
      </c>
      <c r="I159" s="32" t="s">
        <v>685</v>
      </c>
      <c r="J159" s="35" t="s">
        <v>145</v>
      </c>
      <c r="K159" s="32" t="s">
        <v>350</v>
      </c>
      <c r="L159" t="str">
        <f t="shared" si="1"/>
        <v>#resources/imagesHead_Fovea_length_xlong,html</v>
      </c>
      <c r="M159" s="32"/>
      <c r="N159" s="32"/>
      <c r="P159" s="32" t="str">
        <f t="shared" si="5"/>
        <v>Head_Fovea_length_xlong</v>
      </c>
      <c r="S159" t="str">
        <f t="shared" si="2"/>
        <v>resources/imagesHead_Fovea_length_xlong,html</v>
      </c>
    </row>
    <row r="160" spans="1:19" x14ac:dyDescent="0.2">
      <c r="A160" t="s">
        <v>685</v>
      </c>
      <c r="B160" t="str">
        <f t="shared" si="0"/>
        <v>##Fovea_distance</v>
      </c>
      <c r="E160" s="4">
        <v>1</v>
      </c>
      <c r="F160" t="s">
        <v>686</v>
      </c>
      <c r="H160" s="32">
        <v>44</v>
      </c>
      <c r="I160" s="32" t="s">
        <v>685</v>
      </c>
      <c r="J160" s="35" t="s">
        <v>185</v>
      </c>
      <c r="K160" s="32" t="s">
        <v>328</v>
      </c>
      <c r="L160" t="str">
        <f t="shared" si="1"/>
        <v>#resources/imagesHead_Fovea_distance_equal,html</v>
      </c>
      <c r="M160" s="32"/>
      <c r="N160" s="32"/>
      <c r="P160" s="32" t="str">
        <f t="shared" si="5"/>
        <v>Head_Fovea_distance_equal</v>
      </c>
      <c r="S160" t="str">
        <f t="shared" si="2"/>
        <v>resources/imagesHead_Fovea_distance_equal,html</v>
      </c>
    </row>
    <row r="161" spans="1:19" x14ac:dyDescent="0.2">
      <c r="A161" t="s">
        <v>664</v>
      </c>
      <c r="B161" t="str">
        <f t="shared" si="0"/>
        <v>Fovea_distance</v>
      </c>
      <c r="E161" s="4">
        <v>1</v>
      </c>
      <c r="F161" t="s">
        <v>686</v>
      </c>
      <c r="H161">
        <v>45</v>
      </c>
      <c r="I161" t="s">
        <v>664</v>
      </c>
      <c r="J161" s="11" t="s">
        <v>185</v>
      </c>
      <c r="K161" t="s">
        <v>308</v>
      </c>
      <c r="L161" t="str">
        <f t="shared" si="1"/>
        <v>resources/imagesHead_Fovea_distance_more,html</v>
      </c>
      <c r="P161" t="str">
        <f t="shared" si="5"/>
        <v>Head_Fovea_distance_more</v>
      </c>
      <c r="S161" t="str">
        <f t="shared" si="2"/>
        <v>resources/imagesHead_Fovea_distance_more,html</v>
      </c>
    </row>
    <row r="162" spans="1:19" x14ac:dyDescent="0.2">
      <c r="A162" t="s">
        <v>664</v>
      </c>
      <c r="B162" t="str">
        <f t="shared" si="0"/>
        <v>Fovea_distance</v>
      </c>
      <c r="E162" s="4">
        <v>1</v>
      </c>
      <c r="F162" t="s">
        <v>686</v>
      </c>
      <c r="H162">
        <v>46</v>
      </c>
      <c r="I162" t="s">
        <v>664</v>
      </c>
      <c r="J162" s="11" t="s">
        <v>185</v>
      </c>
      <c r="K162" t="s">
        <v>299</v>
      </c>
      <c r="L162" t="str">
        <f t="shared" si="1"/>
        <v>resources/imagesHead_Fovea_distance_less,html</v>
      </c>
      <c r="P162" t="str">
        <f t="shared" si="5"/>
        <v>Head_Fovea_distance_less</v>
      </c>
      <c r="S162" t="str">
        <f t="shared" si="2"/>
        <v>resources/imagesHead_Fovea_distance_less,html</v>
      </c>
    </row>
    <row r="163" spans="1:19" x14ac:dyDescent="0.2">
      <c r="A163" t="s">
        <v>664</v>
      </c>
      <c r="B163" t="str">
        <f t="shared" si="0"/>
        <v>Fovea_width</v>
      </c>
      <c r="E163" s="4">
        <v>1</v>
      </c>
      <c r="F163" t="s">
        <v>686</v>
      </c>
      <c r="H163">
        <v>47</v>
      </c>
      <c r="I163" t="s">
        <v>664</v>
      </c>
      <c r="J163" s="11" t="s">
        <v>146</v>
      </c>
      <c r="K163" t="s">
        <v>404</v>
      </c>
      <c r="L163" t="str">
        <f t="shared" si="1"/>
        <v>resources/imagesHead_Fovea_width_narrow,html</v>
      </c>
      <c r="P163" t="str">
        <f t="shared" si="5"/>
        <v>Head_Fovea_width_narrow</v>
      </c>
      <c r="S163" t="str">
        <f t="shared" si="2"/>
        <v>resources/imagesHead_Fovea_width_narrow,html</v>
      </c>
    </row>
    <row r="164" spans="1:19" x14ac:dyDescent="0.2">
      <c r="A164" t="s">
        <v>664</v>
      </c>
      <c r="B164" t="str">
        <f t="shared" si="0"/>
        <v>Fovea_width</v>
      </c>
      <c r="E164" s="4">
        <v>1</v>
      </c>
      <c r="F164" t="s">
        <v>686</v>
      </c>
      <c r="H164">
        <v>48</v>
      </c>
      <c r="I164" t="s">
        <v>664</v>
      </c>
      <c r="J164" s="11" t="s">
        <v>146</v>
      </c>
      <c r="K164" t="s">
        <v>404</v>
      </c>
      <c r="L164" t="str">
        <f t="shared" si="1"/>
        <v>resources/imagesHead_Fovea_width_narrow_2,html</v>
      </c>
      <c r="P164" t="s">
        <v>677</v>
      </c>
      <c r="S164" t="str">
        <f t="shared" si="2"/>
        <v>resources/imagesHead_Fovea_width_narrow_2,html</v>
      </c>
    </row>
    <row r="165" spans="1:19" x14ac:dyDescent="0.2">
      <c r="A165" t="s">
        <v>664</v>
      </c>
      <c r="B165" t="str">
        <f t="shared" si="0"/>
        <v>Fovea_width</v>
      </c>
      <c r="E165" s="4">
        <v>1</v>
      </c>
      <c r="F165" t="s">
        <v>686</v>
      </c>
      <c r="H165">
        <v>49</v>
      </c>
      <c r="I165" t="s">
        <v>664</v>
      </c>
      <c r="J165" s="11" t="s">
        <v>146</v>
      </c>
      <c r="K165" t="s">
        <v>404</v>
      </c>
      <c r="L165" t="str">
        <f t="shared" si="1"/>
        <v>resources/imagesHead_Fovea_width_narrow_3,html</v>
      </c>
      <c r="P165" t="s">
        <v>680</v>
      </c>
      <c r="S165" t="str">
        <f t="shared" si="2"/>
        <v>resources/imagesHead_Fovea_width_narrow_3,html</v>
      </c>
    </row>
    <row r="166" spans="1:19" x14ac:dyDescent="0.2">
      <c r="A166" t="s">
        <v>664</v>
      </c>
      <c r="B166" t="str">
        <f t="shared" si="0"/>
        <v>Fovea_width</v>
      </c>
      <c r="E166" s="4">
        <v>1</v>
      </c>
      <c r="F166" t="s">
        <v>686</v>
      </c>
      <c r="H166">
        <v>50</v>
      </c>
      <c r="I166" t="s">
        <v>664</v>
      </c>
      <c r="J166" s="11" t="s">
        <v>146</v>
      </c>
      <c r="K166" t="s">
        <v>290</v>
      </c>
      <c r="L166" t="str">
        <f t="shared" si="1"/>
        <v>resources/imagesHead_Fovea_width_moderate,html</v>
      </c>
      <c r="P166" t="str">
        <f t="shared" ref="P166:P178" si="6">CONCATENATE("Head_",J166,"_",K166)</f>
        <v>Head_Fovea_width_moderate</v>
      </c>
      <c r="S166" t="str">
        <f t="shared" si="2"/>
        <v>resources/imagesHead_Fovea_width_moderate,html</v>
      </c>
    </row>
    <row r="167" spans="1:19" x14ac:dyDescent="0.2">
      <c r="A167" t="s">
        <v>685</v>
      </c>
      <c r="B167" t="str">
        <f t="shared" si="0"/>
        <v>##Fovea_width</v>
      </c>
      <c r="E167" s="4">
        <v>1</v>
      </c>
      <c r="F167" t="s">
        <v>686</v>
      </c>
      <c r="H167" s="32">
        <v>51</v>
      </c>
      <c r="I167" s="32" t="s">
        <v>685</v>
      </c>
      <c r="J167" s="35" t="s">
        <v>146</v>
      </c>
      <c r="K167" s="32" t="s">
        <v>253</v>
      </c>
      <c r="L167" t="str">
        <f t="shared" si="1"/>
        <v>#resources/imagesHead_Fovea_width_broad,html</v>
      </c>
      <c r="M167" s="32"/>
      <c r="N167" s="32"/>
      <c r="P167" s="32" t="str">
        <f t="shared" si="6"/>
        <v>Head_Fovea_width_broad</v>
      </c>
      <c r="S167" t="str">
        <f t="shared" si="2"/>
        <v>resources/imagesHead_Fovea_width_broad,html</v>
      </c>
    </row>
    <row r="168" spans="1:19" x14ac:dyDescent="0.2">
      <c r="A168" t="s">
        <v>664</v>
      </c>
      <c r="B168" t="str">
        <f t="shared" si="0"/>
        <v>Head_dimensions</v>
      </c>
      <c r="E168" s="4">
        <v>1</v>
      </c>
      <c r="F168" t="s">
        <v>686</v>
      </c>
      <c r="H168">
        <v>52</v>
      </c>
      <c r="I168" t="s">
        <v>664</v>
      </c>
      <c r="J168" s="11" t="s">
        <v>147</v>
      </c>
      <c r="K168" t="s">
        <v>250</v>
      </c>
      <c r="L168" t="str">
        <f t="shared" si="1"/>
        <v>resources/imagesHead_Head_dimensions_quadrate,html</v>
      </c>
      <c r="P168" t="str">
        <f t="shared" si="6"/>
        <v>Head_Head_dimensions_quadrate</v>
      </c>
      <c r="S168" t="str">
        <f t="shared" si="2"/>
        <v>resources/imagesHead_Head_dimensions_quadrate,html</v>
      </c>
    </row>
    <row r="169" spans="1:19" x14ac:dyDescent="0.2">
      <c r="A169" t="s">
        <v>664</v>
      </c>
      <c r="B169" t="str">
        <f t="shared" si="0"/>
        <v>Head_dimensions</v>
      </c>
      <c r="E169" s="4">
        <v>1</v>
      </c>
      <c r="F169" t="s">
        <v>686</v>
      </c>
      <c r="H169">
        <v>53</v>
      </c>
      <c r="I169" t="s">
        <v>664</v>
      </c>
      <c r="J169" s="11" t="s">
        <v>147</v>
      </c>
      <c r="K169" t="s">
        <v>253</v>
      </c>
      <c r="L169" t="str">
        <f t="shared" si="1"/>
        <v>resources/imagesHead_Head_dimensions_broad,html</v>
      </c>
      <c r="P169" t="str">
        <f t="shared" si="6"/>
        <v>Head_Head_dimensions_broad</v>
      </c>
      <c r="S169" t="str">
        <f t="shared" si="2"/>
        <v>resources/imagesHead_Head_dimensions_broad,html</v>
      </c>
    </row>
    <row r="170" spans="1:19" x14ac:dyDescent="0.2">
      <c r="A170" t="s">
        <v>685</v>
      </c>
      <c r="B170" t="str">
        <f t="shared" si="0"/>
        <v>##Head_dimensions</v>
      </c>
      <c r="E170" s="4">
        <v>1</v>
      </c>
      <c r="F170" t="s">
        <v>686</v>
      </c>
      <c r="H170" s="32">
        <v>54</v>
      </c>
      <c r="I170" s="32" t="s">
        <v>685</v>
      </c>
      <c r="J170" s="35" t="s">
        <v>147</v>
      </c>
      <c r="K170" s="32" t="s">
        <v>225</v>
      </c>
      <c r="L170" t="str">
        <f t="shared" si="1"/>
        <v>#resources/imagesHead_Head_dimensions_long,html</v>
      </c>
      <c r="M170" s="32"/>
      <c r="N170" s="32"/>
      <c r="P170" s="32" t="str">
        <f t="shared" si="6"/>
        <v>Head_Head_dimensions_long</v>
      </c>
      <c r="S170" t="str">
        <f t="shared" si="2"/>
        <v>resources/imagesHead_Head_dimensions_long,html</v>
      </c>
    </row>
    <row r="171" spans="1:19" x14ac:dyDescent="0.2">
      <c r="A171" t="s">
        <v>664</v>
      </c>
      <c r="B171" t="str">
        <f t="shared" si="0"/>
        <v>Galea_shape</v>
      </c>
      <c r="E171" s="4">
        <v>1</v>
      </c>
      <c r="F171" t="s">
        <v>686</v>
      </c>
      <c r="H171">
        <v>55</v>
      </c>
      <c r="I171" t="s">
        <v>664</v>
      </c>
      <c r="J171" s="11" t="s">
        <v>148</v>
      </c>
      <c r="K171" t="s">
        <v>179</v>
      </c>
      <c r="L171" t="str">
        <f t="shared" si="1"/>
        <v>resources/imagesHead_Galea_shape_normal,html</v>
      </c>
      <c r="P171" t="str">
        <f t="shared" si="6"/>
        <v>Head_Galea_shape_normal</v>
      </c>
      <c r="S171" t="str">
        <f t="shared" si="2"/>
        <v>resources/imagesHead_Galea_shape_normal,html</v>
      </c>
    </row>
    <row r="172" spans="1:19" x14ac:dyDescent="0.2">
      <c r="A172" t="s">
        <v>685</v>
      </c>
      <c r="B172" t="str">
        <f t="shared" si="0"/>
        <v>##Galea_shape</v>
      </c>
      <c r="E172" s="4">
        <v>1</v>
      </c>
      <c r="F172" t="s">
        <v>686</v>
      </c>
      <c r="H172" s="32">
        <v>56</v>
      </c>
      <c r="I172" s="32" t="s">
        <v>685</v>
      </c>
      <c r="J172" s="35" t="s">
        <v>148</v>
      </c>
      <c r="K172" s="32" t="s">
        <v>417</v>
      </c>
      <c r="L172" t="str">
        <f t="shared" si="1"/>
        <v>#resources/imagesHead_Galea_shape_spear,html</v>
      </c>
      <c r="M172" s="32"/>
      <c r="N172" s="32"/>
      <c r="P172" s="32" t="str">
        <f t="shared" si="6"/>
        <v>Head_Galea_shape_spear</v>
      </c>
      <c r="S172" t="str">
        <f t="shared" si="2"/>
        <v>resources/imagesHead_Galea_shape_spear,html</v>
      </c>
    </row>
    <row r="173" spans="1:19" x14ac:dyDescent="0.2">
      <c r="A173" t="s">
        <v>664</v>
      </c>
      <c r="B173" t="str">
        <f t="shared" si="0"/>
        <v>Labral_length</v>
      </c>
      <c r="E173" s="4">
        <v>1</v>
      </c>
      <c r="F173" t="s">
        <v>686</v>
      </c>
      <c r="H173">
        <v>57</v>
      </c>
      <c r="I173" t="s">
        <v>664</v>
      </c>
      <c r="J173" s="11" t="s">
        <v>149</v>
      </c>
      <c r="K173" t="s">
        <v>225</v>
      </c>
      <c r="L173" t="str">
        <f t="shared" si="1"/>
        <v>resources/imagesHead_Labral_length_long,html</v>
      </c>
      <c r="P173" t="str">
        <f t="shared" si="6"/>
        <v>Head_Labral_length_long</v>
      </c>
      <c r="S173" t="str">
        <f t="shared" si="2"/>
        <v>resources/imagesHead_Labral_length_long,html</v>
      </c>
    </row>
    <row r="174" spans="1:19" x14ac:dyDescent="0.2">
      <c r="A174" t="s">
        <v>664</v>
      </c>
      <c r="B174" t="str">
        <f t="shared" si="0"/>
        <v>Labral_length</v>
      </c>
      <c r="E174" s="4">
        <v>1</v>
      </c>
      <c r="F174" t="s">
        <v>686</v>
      </c>
      <c r="H174">
        <v>58</v>
      </c>
      <c r="I174" t="s">
        <v>664</v>
      </c>
      <c r="J174" s="11" t="s">
        <v>149</v>
      </c>
      <c r="K174" t="s">
        <v>290</v>
      </c>
      <c r="L174" t="str">
        <f t="shared" si="1"/>
        <v>resources/imagesHead_Labral_length_moderate,html</v>
      </c>
      <c r="P174" t="str">
        <f t="shared" si="6"/>
        <v>Head_Labral_length_moderate</v>
      </c>
      <c r="S174" t="str">
        <f t="shared" si="2"/>
        <v>resources/imagesHead_Labral_length_moderate,html</v>
      </c>
    </row>
    <row r="175" spans="1:19" x14ac:dyDescent="0.2">
      <c r="A175" t="s">
        <v>664</v>
      </c>
      <c r="B175" t="str">
        <f t="shared" si="0"/>
        <v>Labral_length</v>
      </c>
      <c r="E175" s="4">
        <v>1</v>
      </c>
      <c r="F175" t="s">
        <v>686</v>
      </c>
      <c r="H175">
        <v>59</v>
      </c>
      <c r="I175" t="s">
        <v>664</v>
      </c>
      <c r="J175" s="11" t="s">
        <v>149</v>
      </c>
      <c r="K175" t="s">
        <v>207</v>
      </c>
      <c r="L175" t="str">
        <f t="shared" si="1"/>
        <v>resources/imagesHead_Labral_length_short,html</v>
      </c>
      <c r="P175" t="str">
        <f t="shared" si="6"/>
        <v>Head_Labral_length_short</v>
      </c>
      <c r="S175" t="str">
        <f t="shared" si="2"/>
        <v>resources/imagesHead_Labral_length_short,html</v>
      </c>
    </row>
    <row r="176" spans="1:19" x14ac:dyDescent="0.2">
      <c r="A176" t="s">
        <v>664</v>
      </c>
      <c r="B176" t="str">
        <f t="shared" si="0"/>
        <v>Labral_margin</v>
      </c>
      <c r="E176" s="4">
        <v>1</v>
      </c>
      <c r="F176" t="s">
        <v>686</v>
      </c>
      <c r="H176">
        <v>60</v>
      </c>
      <c r="I176" t="s">
        <v>664</v>
      </c>
      <c r="J176" s="11" t="s">
        <v>150</v>
      </c>
      <c r="K176" t="s">
        <v>344</v>
      </c>
      <c r="L176" t="str">
        <f t="shared" si="1"/>
        <v>resources/imagesHead_Labral_margin_entire,html</v>
      </c>
      <c r="P176" t="str">
        <f t="shared" si="6"/>
        <v>Head_Labral_margin_entire</v>
      </c>
      <c r="S176" t="str">
        <f t="shared" si="2"/>
        <v>resources/imagesHead_Labral_margin_entire,html</v>
      </c>
    </row>
    <row r="177" spans="1:19" x14ac:dyDescent="0.2">
      <c r="A177" t="s">
        <v>685</v>
      </c>
      <c r="B177" t="str">
        <f t="shared" si="0"/>
        <v>##Labral_margin</v>
      </c>
      <c r="E177" s="4">
        <v>1</v>
      </c>
      <c r="F177" t="s">
        <v>686</v>
      </c>
      <c r="H177" s="32">
        <v>61</v>
      </c>
      <c r="I177" s="32" t="s">
        <v>685</v>
      </c>
      <c r="J177" s="35" t="s">
        <v>150</v>
      </c>
      <c r="K177" s="32" t="s">
        <v>336</v>
      </c>
      <c r="L177" t="str">
        <f t="shared" si="1"/>
        <v>#resources/imagesHead_Labral_margin_weak,html</v>
      </c>
      <c r="M177" s="32"/>
      <c r="N177" s="32"/>
      <c r="P177" s="32" t="str">
        <f t="shared" si="6"/>
        <v>Head_Labral_margin_weak</v>
      </c>
      <c r="S177" t="str">
        <f t="shared" si="2"/>
        <v>resources/imagesHead_Labral_margin_weak,html</v>
      </c>
    </row>
    <row r="178" spans="1:19" x14ac:dyDescent="0.2">
      <c r="A178" t="s">
        <v>664</v>
      </c>
      <c r="B178" t="str">
        <f t="shared" si="0"/>
        <v>Labral_margin</v>
      </c>
      <c r="E178" s="4">
        <v>1</v>
      </c>
      <c r="F178" t="s">
        <v>686</v>
      </c>
      <c r="H178">
        <v>62</v>
      </c>
      <c r="I178" t="s">
        <v>664</v>
      </c>
      <c r="J178" s="11" t="s">
        <v>150</v>
      </c>
      <c r="K178" t="s">
        <v>330</v>
      </c>
      <c r="L178" t="str">
        <f t="shared" si="1"/>
        <v>resources/imagesHead_Labral_margin_emarginate,html</v>
      </c>
      <c r="P178" t="str">
        <f t="shared" si="6"/>
        <v>Head_Labral_margin_emarginate</v>
      </c>
      <c r="S178" t="str">
        <f t="shared" si="2"/>
        <v>resources/imagesHead_Labral_margin_emarginate,html</v>
      </c>
    </row>
    <row r="179" spans="1:19" x14ac:dyDescent="0.2">
      <c r="A179" t="s">
        <v>664</v>
      </c>
      <c r="B179" t="str">
        <f t="shared" si="0"/>
        <v>Labral_margin</v>
      </c>
      <c r="E179" s="4">
        <v>1</v>
      </c>
      <c r="F179" t="s">
        <v>686</v>
      </c>
      <c r="H179">
        <v>63</v>
      </c>
      <c r="I179" t="s">
        <v>664</v>
      </c>
      <c r="J179" s="11" t="s">
        <v>150</v>
      </c>
      <c r="K179" t="s">
        <v>330</v>
      </c>
      <c r="L179" t="str">
        <f t="shared" si="1"/>
        <v>resources/imagesHead_Labral_margin_emarginate_2,html</v>
      </c>
      <c r="P179" t="s">
        <v>665</v>
      </c>
      <c r="S179" t="str">
        <f t="shared" si="2"/>
        <v>resources/imagesHead_Labral_margin_emarginate_2,html</v>
      </c>
    </row>
    <row r="180" spans="1:19" x14ac:dyDescent="0.2">
      <c r="A180" t="s">
        <v>667</v>
      </c>
      <c r="B180" t="str">
        <f t="shared" si="0"/>
        <v>Labral_margin</v>
      </c>
      <c r="E180" s="4">
        <v>1</v>
      </c>
      <c r="F180" t="s">
        <v>686</v>
      </c>
      <c r="H180">
        <v>64</v>
      </c>
      <c r="I180" t="s">
        <v>667</v>
      </c>
      <c r="J180" s="11" t="s">
        <v>150</v>
      </c>
      <c r="K180" t="s">
        <v>192</v>
      </c>
      <c r="L180" t="str">
        <f t="shared" si="1"/>
        <v>resources/imagesHead_Labral_margin_bidentate,html</v>
      </c>
      <c r="P180" t="str">
        <f>CONCATENATE("Head_",J180,"_",K180)</f>
        <v>Head_Labral_margin_bidentate</v>
      </c>
      <c r="S180" t="str">
        <f t="shared" si="2"/>
        <v>resources/imagesHead_Labral_margin_bidentate,html</v>
      </c>
    </row>
    <row r="181" spans="1:19" x14ac:dyDescent="0.2">
      <c r="A181" t="s">
        <v>664</v>
      </c>
      <c r="B181" t="str">
        <f t="shared" si="0"/>
        <v>Labral_margin</v>
      </c>
      <c r="E181" s="4">
        <v>1</v>
      </c>
      <c r="F181" t="s">
        <v>686</v>
      </c>
      <c r="H181">
        <v>65</v>
      </c>
      <c r="I181" t="s">
        <v>664</v>
      </c>
      <c r="J181" s="11" t="s">
        <v>150</v>
      </c>
      <c r="K181" t="s">
        <v>192</v>
      </c>
      <c r="L181" t="str">
        <f t="shared" si="1"/>
        <v>resources/imagesHead_Labral_margin_bidentate_2,html</v>
      </c>
      <c r="P181" t="s">
        <v>679</v>
      </c>
      <c r="S181" t="str">
        <f t="shared" si="2"/>
        <v>resources/imagesHead_Labral_margin_bidentate_2,html</v>
      </c>
    </row>
    <row r="182" spans="1:19" x14ac:dyDescent="0.2">
      <c r="A182" t="s">
        <v>685</v>
      </c>
      <c r="B182" t="str">
        <f t="shared" ref="B182:B245" si="7">IF(I182="###", CONCATENATE("##", J182), J182)</f>
        <v>##Labral_margin</v>
      </c>
      <c r="E182" s="4">
        <v>1</v>
      </c>
      <c r="F182" t="s">
        <v>686</v>
      </c>
      <c r="H182" s="32">
        <v>66</v>
      </c>
      <c r="I182" s="32" t="s">
        <v>685</v>
      </c>
      <c r="J182" s="35" t="s">
        <v>150</v>
      </c>
      <c r="K182" s="32" t="s">
        <v>418</v>
      </c>
      <c r="L182" t="str">
        <f t="shared" ref="L182:L245" si="8">IF(I182="###",CONCATENATE("#",S182,),S182)</f>
        <v>#resources/imagesHead_Labral_margin_pointed,html</v>
      </c>
      <c r="M182" s="32"/>
      <c r="N182" s="32"/>
      <c r="P182" s="32" t="str">
        <f t="shared" ref="P182:P197" si="9">CONCATENATE("Head_",J182,"_",K182)</f>
        <v>Head_Labral_margin_pointed</v>
      </c>
      <c r="S182" t="str">
        <f t="shared" ref="S182:S245" si="10">CONCATENATE("resources/images",P182,",html")</f>
        <v>resources/imagesHead_Labral_margin_pointed,html</v>
      </c>
    </row>
    <row r="183" spans="1:19" x14ac:dyDescent="0.2">
      <c r="A183" t="s">
        <v>664</v>
      </c>
      <c r="B183" t="str">
        <f t="shared" si="7"/>
        <v>Malar</v>
      </c>
      <c r="E183" s="4">
        <v>1</v>
      </c>
      <c r="F183" t="s">
        <v>686</v>
      </c>
      <c r="H183">
        <v>67</v>
      </c>
      <c r="I183" t="s">
        <v>664</v>
      </c>
      <c r="J183" s="11" t="s">
        <v>74</v>
      </c>
      <c r="K183" t="s">
        <v>335</v>
      </c>
      <c r="L183" t="str">
        <f t="shared" si="8"/>
        <v>resources/imagesHead_Malar_xshort,html</v>
      </c>
      <c r="P183" t="str">
        <f t="shared" si="9"/>
        <v>Head_Malar_xshort</v>
      </c>
      <c r="S183" t="str">
        <f t="shared" si="10"/>
        <v>resources/imagesHead_Malar_xshort,html</v>
      </c>
    </row>
    <row r="184" spans="1:19" x14ac:dyDescent="0.2">
      <c r="A184" t="s">
        <v>664</v>
      </c>
      <c r="B184" t="str">
        <f t="shared" si="7"/>
        <v>Malar</v>
      </c>
      <c r="E184" s="4">
        <v>1</v>
      </c>
      <c r="F184" t="s">
        <v>686</v>
      </c>
      <c r="H184">
        <v>68</v>
      </c>
      <c r="I184" t="s">
        <v>664</v>
      </c>
      <c r="J184" s="11" t="s">
        <v>74</v>
      </c>
      <c r="K184" t="s">
        <v>207</v>
      </c>
      <c r="L184" t="str">
        <f t="shared" si="8"/>
        <v>resources/imagesHead_Malar_short,html</v>
      </c>
      <c r="P184" t="str">
        <f t="shared" si="9"/>
        <v>Head_Malar_short</v>
      </c>
      <c r="S184" t="str">
        <f t="shared" si="10"/>
        <v>resources/imagesHead_Malar_short,html</v>
      </c>
    </row>
    <row r="185" spans="1:19" x14ac:dyDescent="0.2">
      <c r="A185" t="s">
        <v>685</v>
      </c>
      <c r="B185" t="str">
        <f t="shared" si="7"/>
        <v>##Malar</v>
      </c>
      <c r="E185" s="4">
        <v>1</v>
      </c>
      <c r="F185" t="s">
        <v>686</v>
      </c>
      <c r="H185" s="32">
        <v>69</v>
      </c>
      <c r="I185" s="32" t="s">
        <v>685</v>
      </c>
      <c r="J185" s="35" t="s">
        <v>74</v>
      </c>
      <c r="K185" s="32" t="s">
        <v>290</v>
      </c>
      <c r="L185" t="str">
        <f t="shared" si="8"/>
        <v>#resources/imagesHead_Malar_moderate,html</v>
      </c>
      <c r="M185" s="32"/>
      <c r="N185" s="32"/>
      <c r="P185" s="32" t="str">
        <f t="shared" si="9"/>
        <v>Head_Malar_moderate</v>
      </c>
      <c r="S185" t="str">
        <f t="shared" si="10"/>
        <v>resources/imagesHead_Malar_moderate,html</v>
      </c>
    </row>
    <row r="186" spans="1:19" x14ac:dyDescent="0.2">
      <c r="A186" t="s">
        <v>685</v>
      </c>
      <c r="B186" t="str">
        <f t="shared" si="7"/>
        <v>##Malar</v>
      </c>
      <c r="E186" s="4">
        <v>1</v>
      </c>
      <c r="F186" t="s">
        <v>686</v>
      </c>
      <c r="H186" s="32">
        <v>70</v>
      </c>
      <c r="I186" s="32" t="s">
        <v>685</v>
      </c>
      <c r="J186" s="35" t="s">
        <v>74</v>
      </c>
      <c r="K186" s="32" t="s">
        <v>225</v>
      </c>
      <c r="L186" t="str">
        <f t="shared" si="8"/>
        <v>#resources/imagesHead_Malar_long,html</v>
      </c>
      <c r="M186" s="32"/>
      <c r="N186" s="32"/>
      <c r="P186" s="32" t="str">
        <f t="shared" si="9"/>
        <v>Head_Malar_long</v>
      </c>
      <c r="S186" t="str">
        <f t="shared" si="10"/>
        <v>resources/imagesHead_Malar_long,html</v>
      </c>
    </row>
    <row r="187" spans="1:19" x14ac:dyDescent="0.2">
      <c r="A187" t="s">
        <v>664</v>
      </c>
      <c r="B187" t="str">
        <f t="shared" si="7"/>
        <v>Malar</v>
      </c>
      <c r="E187" s="4">
        <v>1</v>
      </c>
      <c r="F187" t="s">
        <v>686</v>
      </c>
      <c r="H187">
        <v>71</v>
      </c>
      <c r="I187" t="s">
        <v>664</v>
      </c>
      <c r="J187" s="11" t="s">
        <v>74</v>
      </c>
      <c r="K187" t="s">
        <v>350</v>
      </c>
      <c r="L187" t="str">
        <f t="shared" si="8"/>
        <v>resources/imagesHead_Malar_xlong,html</v>
      </c>
      <c r="P187" t="str">
        <f t="shared" si="9"/>
        <v>Head_Malar_xlong</v>
      </c>
      <c r="S187" t="str">
        <f t="shared" si="10"/>
        <v>resources/imagesHead_Malar_xlong,html</v>
      </c>
    </row>
    <row r="188" spans="1:19" x14ac:dyDescent="0.2">
      <c r="A188" t="s">
        <v>664</v>
      </c>
      <c r="B188" t="str">
        <f t="shared" si="7"/>
        <v>Mandible_apex</v>
      </c>
      <c r="E188" s="4">
        <v>1</v>
      </c>
      <c r="F188" t="s">
        <v>686</v>
      </c>
      <c r="H188">
        <v>72</v>
      </c>
      <c r="I188" t="s">
        <v>664</v>
      </c>
      <c r="J188" s="11" t="s">
        <v>151</v>
      </c>
      <c r="K188" t="s">
        <v>192</v>
      </c>
      <c r="L188" t="str">
        <f t="shared" si="8"/>
        <v>resources/imagesHead_Mandible_apex_bidentate,html</v>
      </c>
      <c r="P188" t="str">
        <f t="shared" si="9"/>
        <v>Head_Mandible_apex_bidentate</v>
      </c>
      <c r="S188" t="str">
        <f t="shared" si="10"/>
        <v>resources/imagesHead_Mandible_apex_bidentate,html</v>
      </c>
    </row>
    <row r="189" spans="1:19" x14ac:dyDescent="0.2">
      <c r="A189" t="s">
        <v>685</v>
      </c>
      <c r="B189" t="str">
        <f t="shared" si="7"/>
        <v>##Mandible_apex</v>
      </c>
      <c r="E189" s="4">
        <v>1</v>
      </c>
      <c r="F189" t="s">
        <v>686</v>
      </c>
      <c r="H189" s="32">
        <v>73</v>
      </c>
      <c r="I189" s="32" t="s">
        <v>685</v>
      </c>
      <c r="J189" s="35" t="s">
        <v>151</v>
      </c>
      <c r="K189" s="32" t="s">
        <v>419</v>
      </c>
      <c r="L189" t="str">
        <f t="shared" si="8"/>
        <v>#resources/imagesHead_Mandible_apex_tridentate,html</v>
      </c>
      <c r="M189" s="32"/>
      <c r="N189" s="32"/>
      <c r="P189" s="32" t="str">
        <f t="shared" si="9"/>
        <v>Head_Mandible_apex_tridentate</v>
      </c>
      <c r="S189" t="str">
        <f t="shared" si="10"/>
        <v>resources/imagesHead_Mandible_apex_tridentate,html</v>
      </c>
    </row>
    <row r="190" spans="1:19" x14ac:dyDescent="0.2">
      <c r="A190" t="s">
        <v>664</v>
      </c>
      <c r="B190" t="str">
        <f t="shared" si="7"/>
        <v>Mandible_lamella</v>
      </c>
      <c r="E190" s="4">
        <v>1</v>
      </c>
      <c r="F190" t="s">
        <v>686</v>
      </c>
      <c r="H190">
        <v>74</v>
      </c>
      <c r="I190" t="s">
        <v>664</v>
      </c>
      <c r="J190" s="11" t="s">
        <v>152</v>
      </c>
      <c r="K190" t="s">
        <v>218</v>
      </c>
      <c r="L190" t="str">
        <f t="shared" si="8"/>
        <v>resources/imagesHead_Mandible_lamella_present,html</v>
      </c>
      <c r="P190" t="str">
        <f t="shared" si="9"/>
        <v>Head_Mandible_lamella_present</v>
      </c>
      <c r="S190" t="str">
        <f t="shared" si="10"/>
        <v>resources/imagesHead_Mandible_lamella_present,html</v>
      </c>
    </row>
    <row r="191" spans="1:19" x14ac:dyDescent="0.2">
      <c r="A191" t="s">
        <v>685</v>
      </c>
      <c r="B191" t="str">
        <f t="shared" si="7"/>
        <v>##Mandible_lamella</v>
      </c>
      <c r="E191" s="4">
        <v>1</v>
      </c>
      <c r="F191" t="s">
        <v>686</v>
      </c>
      <c r="H191" s="32">
        <v>75</v>
      </c>
      <c r="I191" s="32" t="s">
        <v>685</v>
      </c>
      <c r="J191" s="35" t="s">
        <v>152</v>
      </c>
      <c r="K191" s="32" t="s">
        <v>351</v>
      </c>
      <c r="L191" t="str">
        <f t="shared" si="8"/>
        <v>#resources/imagesHead_Mandible_lamella_present_broad,html</v>
      </c>
      <c r="M191" s="32"/>
      <c r="N191" s="32"/>
      <c r="P191" s="32" t="str">
        <f t="shared" si="9"/>
        <v>Head_Mandible_lamella_present_broad</v>
      </c>
      <c r="S191" t="str">
        <f t="shared" si="10"/>
        <v>resources/imagesHead_Mandible_lamella_present_broad,html</v>
      </c>
    </row>
    <row r="192" spans="1:19" x14ac:dyDescent="0.2">
      <c r="A192" t="s">
        <v>667</v>
      </c>
      <c r="B192" t="str">
        <f t="shared" si="7"/>
        <v>Mandible_lamella</v>
      </c>
      <c r="E192" s="4">
        <v>1</v>
      </c>
      <c r="F192" t="s">
        <v>686</v>
      </c>
      <c r="H192">
        <v>76</v>
      </c>
      <c r="I192" t="s">
        <v>667</v>
      </c>
      <c r="J192" s="11" t="s">
        <v>152</v>
      </c>
      <c r="K192" t="s">
        <v>206</v>
      </c>
      <c r="L192" t="str">
        <f t="shared" si="8"/>
        <v>resources/imagesHead_Mandible_lamella_none,html</v>
      </c>
      <c r="P192" t="str">
        <f t="shared" si="9"/>
        <v>Head_Mandible_lamella_none</v>
      </c>
      <c r="S192" t="str">
        <f t="shared" si="10"/>
        <v>resources/imagesHead_Mandible_lamella_none,html</v>
      </c>
    </row>
    <row r="193" spans="1:19" x14ac:dyDescent="0.2">
      <c r="A193" t="s">
        <v>685</v>
      </c>
      <c r="B193" t="str">
        <f t="shared" si="7"/>
        <v>##Mandible_lamella</v>
      </c>
      <c r="E193" s="4">
        <v>1</v>
      </c>
      <c r="F193" t="s">
        <v>686</v>
      </c>
      <c r="H193" s="32">
        <v>77</v>
      </c>
      <c r="I193" s="32" t="s">
        <v>685</v>
      </c>
      <c r="J193" s="35" t="s">
        <v>152</v>
      </c>
      <c r="K193" s="32" t="s">
        <v>420</v>
      </c>
      <c r="L193" t="str">
        <f t="shared" si="8"/>
        <v>#resources/imagesHead_Mandible_lamella_tooth,html</v>
      </c>
      <c r="M193" s="32"/>
      <c r="N193" s="32"/>
      <c r="P193" s="32" t="str">
        <f t="shared" si="9"/>
        <v>Head_Mandible_lamella_tooth</v>
      </c>
      <c r="S193" t="str">
        <f t="shared" si="10"/>
        <v>resources/imagesHead_Mandible_lamella_tooth,html</v>
      </c>
    </row>
    <row r="194" spans="1:19" x14ac:dyDescent="0.2">
      <c r="A194" t="s">
        <v>664</v>
      </c>
      <c r="B194" t="str">
        <f t="shared" si="7"/>
        <v>Maxpalp_length</v>
      </c>
      <c r="E194" s="4">
        <v>1</v>
      </c>
      <c r="F194" t="s">
        <v>686</v>
      </c>
      <c r="H194">
        <v>78</v>
      </c>
      <c r="I194" t="s">
        <v>664</v>
      </c>
      <c r="J194" s="11" t="s">
        <v>153</v>
      </c>
      <c r="K194" t="s">
        <v>421</v>
      </c>
      <c r="L194" t="str">
        <f t="shared" si="8"/>
        <v>resources/imagesHead_Maxpalp_length_2x galea,html</v>
      </c>
      <c r="P194" t="str">
        <f t="shared" si="9"/>
        <v>Head_Maxpalp_length_2x galea</v>
      </c>
      <c r="S194" t="str">
        <f t="shared" si="10"/>
        <v>resources/imagesHead_Maxpalp_length_2x galea,html</v>
      </c>
    </row>
    <row r="195" spans="1:19" x14ac:dyDescent="0.2">
      <c r="A195" t="s">
        <v>685</v>
      </c>
      <c r="B195" t="str">
        <f t="shared" si="7"/>
        <v>##Maxpalp_length</v>
      </c>
      <c r="E195" s="4">
        <v>1</v>
      </c>
      <c r="F195" t="s">
        <v>686</v>
      </c>
      <c r="H195" s="32">
        <v>79</v>
      </c>
      <c r="I195" s="32" t="s">
        <v>685</v>
      </c>
      <c r="J195" s="35" t="s">
        <v>153</v>
      </c>
      <c r="K195" s="32" t="s">
        <v>422</v>
      </c>
      <c r="L195" t="str">
        <f t="shared" si="8"/>
        <v>#resources/imagesHead_Maxpalp_length_3x galea,html</v>
      </c>
      <c r="M195" s="32"/>
      <c r="N195" s="32"/>
      <c r="P195" s="32" t="str">
        <f t="shared" si="9"/>
        <v>Head_Maxpalp_length_3x galea</v>
      </c>
      <c r="S195" t="str">
        <f t="shared" si="10"/>
        <v>resources/imagesHead_Maxpalp_length_3x galea,html</v>
      </c>
    </row>
    <row r="196" spans="1:19" x14ac:dyDescent="0.2">
      <c r="A196" t="s">
        <v>685</v>
      </c>
      <c r="B196" t="str">
        <f t="shared" si="7"/>
        <v>##Maxpalp_length</v>
      </c>
      <c r="E196" s="4">
        <v>1</v>
      </c>
      <c r="F196" t="s">
        <v>686</v>
      </c>
      <c r="H196" s="32">
        <v>80</v>
      </c>
      <c r="I196" s="32" t="s">
        <v>685</v>
      </c>
      <c r="J196" s="35" t="s">
        <v>153</v>
      </c>
      <c r="K196" s="32" t="s">
        <v>207</v>
      </c>
      <c r="L196" t="str">
        <f t="shared" si="8"/>
        <v>#resources/imagesHead_Maxpalp_length_short,html</v>
      </c>
      <c r="M196" s="32"/>
      <c r="N196" s="32"/>
      <c r="P196" s="32" t="str">
        <f t="shared" si="9"/>
        <v>Head_Maxpalp_length_short</v>
      </c>
      <c r="S196" t="str">
        <f t="shared" si="10"/>
        <v>resources/imagesHead_Maxpalp_length_short,html</v>
      </c>
    </row>
    <row r="197" spans="1:19" x14ac:dyDescent="0.2">
      <c r="A197" t="s">
        <v>664</v>
      </c>
      <c r="B197" t="str">
        <f t="shared" si="7"/>
        <v>Vertex</v>
      </c>
      <c r="E197" s="4">
        <v>1</v>
      </c>
      <c r="F197" t="s">
        <v>686</v>
      </c>
      <c r="H197">
        <v>81</v>
      </c>
      <c r="I197" t="s">
        <v>664</v>
      </c>
      <c r="J197" s="11" t="s">
        <v>69</v>
      </c>
      <c r="K197" t="s">
        <v>308</v>
      </c>
      <c r="L197" t="str">
        <f t="shared" si="8"/>
        <v>resources/imagesHead_Vertex_more,html</v>
      </c>
      <c r="P197" t="str">
        <f t="shared" si="9"/>
        <v>Head_Vertex_more</v>
      </c>
      <c r="S197" t="str">
        <f t="shared" si="10"/>
        <v>resources/imagesHead_Vertex_more,html</v>
      </c>
    </row>
    <row r="198" spans="1:19" x14ac:dyDescent="0.2">
      <c r="A198" t="s">
        <v>664</v>
      </c>
      <c r="B198" t="str">
        <f t="shared" si="7"/>
        <v>Vertex</v>
      </c>
      <c r="E198" s="4">
        <v>1</v>
      </c>
      <c r="F198" t="s">
        <v>686</v>
      </c>
      <c r="H198">
        <v>82</v>
      </c>
      <c r="I198" t="s">
        <v>664</v>
      </c>
      <c r="J198" s="11" t="s">
        <v>69</v>
      </c>
      <c r="K198" t="s">
        <v>308</v>
      </c>
      <c r="L198" t="str">
        <f t="shared" si="8"/>
        <v>resources/imagesHead_Vertex_more_2,html</v>
      </c>
      <c r="P198" t="s">
        <v>678</v>
      </c>
      <c r="S198" t="str">
        <f t="shared" si="10"/>
        <v>resources/imagesHead_Vertex_more_2,html</v>
      </c>
    </row>
    <row r="199" spans="1:19" x14ac:dyDescent="0.2">
      <c r="A199" t="s">
        <v>664</v>
      </c>
      <c r="B199" t="str">
        <f t="shared" si="7"/>
        <v>Vertex</v>
      </c>
      <c r="E199" s="4">
        <v>1</v>
      </c>
      <c r="F199" t="s">
        <v>686</v>
      </c>
      <c r="H199">
        <v>83</v>
      </c>
      <c r="I199" t="s">
        <v>664</v>
      </c>
      <c r="J199" s="11" t="s">
        <v>69</v>
      </c>
      <c r="K199" t="s">
        <v>328</v>
      </c>
      <c r="L199" t="str">
        <f t="shared" si="8"/>
        <v>resources/imagesHead_Vertex_equal,html</v>
      </c>
      <c r="P199" t="str">
        <f>CONCATENATE("Head_",J199,"_",K199)</f>
        <v>Head_Vertex_equal</v>
      </c>
      <c r="S199" t="str">
        <f t="shared" si="10"/>
        <v>resources/imagesHead_Vertex_equal,html</v>
      </c>
    </row>
    <row r="200" spans="1:19" x14ac:dyDescent="0.2">
      <c r="A200" t="s">
        <v>685</v>
      </c>
      <c r="B200" t="str">
        <f t="shared" si="7"/>
        <v>##Vertex</v>
      </c>
      <c r="E200" s="4">
        <v>1</v>
      </c>
      <c r="F200" t="s">
        <v>686</v>
      </c>
      <c r="H200" s="32">
        <v>84</v>
      </c>
      <c r="I200" s="32" t="s">
        <v>685</v>
      </c>
      <c r="J200" s="35" t="s">
        <v>69</v>
      </c>
      <c r="K200" s="32" t="s">
        <v>299</v>
      </c>
      <c r="L200" t="str">
        <f t="shared" si="8"/>
        <v>#resources/imagesHead_Vertex_less,html</v>
      </c>
      <c r="M200" s="32"/>
      <c r="N200" s="32"/>
      <c r="P200" s="32" t="str">
        <f>CONCATENATE("Head_",J200,"_",K200)</f>
        <v>Head_Vertex_less</v>
      </c>
      <c r="S200" t="str">
        <f t="shared" si="10"/>
        <v>resources/imagesHead_Vertex_less,html</v>
      </c>
    </row>
    <row r="201" spans="1:19" x14ac:dyDescent="0.2">
      <c r="A201" t="s">
        <v>664</v>
      </c>
      <c r="B201" t="str">
        <f t="shared" si="7"/>
        <v>Vertex</v>
      </c>
      <c r="E201" s="4">
        <v>1</v>
      </c>
      <c r="F201" t="s">
        <v>686</v>
      </c>
      <c r="H201">
        <v>85</v>
      </c>
      <c r="I201" t="s">
        <v>664</v>
      </c>
      <c r="J201" s="11" t="s">
        <v>69</v>
      </c>
      <c r="K201" t="s">
        <v>423</v>
      </c>
      <c r="L201" t="str">
        <f t="shared" si="8"/>
        <v>resources/imagesHead_Vertex_much,html</v>
      </c>
      <c r="P201" t="str">
        <f>CONCATENATE("Head_",J201,"_",K201)</f>
        <v>Head_Vertex_much</v>
      </c>
      <c r="S201" t="str">
        <f t="shared" si="10"/>
        <v>resources/imagesHead_Vertex_much,html</v>
      </c>
    </row>
    <row r="202" spans="1:19" x14ac:dyDescent="0.2">
      <c r="A202" t="s">
        <v>685</v>
      </c>
      <c r="B202" t="str">
        <f t="shared" si="7"/>
        <v>##Midbasitarsus_width</v>
      </c>
      <c r="E202" s="4">
        <v>1</v>
      </c>
      <c r="F202" t="s">
        <v>686</v>
      </c>
      <c r="H202" s="32">
        <v>86</v>
      </c>
      <c r="I202" s="32" t="s">
        <v>685</v>
      </c>
      <c r="J202" s="35" t="s">
        <v>154</v>
      </c>
      <c r="K202" s="32" t="s">
        <v>179</v>
      </c>
      <c r="L202" t="str">
        <f t="shared" si="8"/>
        <v>#resources/imagesLegs_Midbasitarsus_width_normal,html</v>
      </c>
      <c r="M202" s="32"/>
      <c r="N202" s="32"/>
      <c r="P202" s="32" t="str">
        <f t="shared" ref="P202:P208" si="11">CONCATENATE("Legs_",J202,"_",K202)</f>
        <v>Legs_Midbasitarsus_width_normal</v>
      </c>
      <c r="S202" t="str">
        <f t="shared" si="10"/>
        <v>resources/imagesLegs_Midbasitarsus_width_normal,html</v>
      </c>
    </row>
    <row r="203" spans="1:19" x14ac:dyDescent="0.2">
      <c r="A203" t="s">
        <v>685</v>
      </c>
      <c r="B203" t="str">
        <f t="shared" si="7"/>
        <v>##Midbasitarsus_width</v>
      </c>
      <c r="E203" s="4">
        <v>1</v>
      </c>
      <c r="F203" t="s">
        <v>686</v>
      </c>
      <c r="H203" s="32">
        <v>87</v>
      </c>
      <c r="I203" s="32" t="s">
        <v>685</v>
      </c>
      <c r="J203" s="35" t="s">
        <v>154</v>
      </c>
      <c r="K203" s="32" t="s">
        <v>283</v>
      </c>
      <c r="L203" t="str">
        <f t="shared" si="8"/>
        <v>#resources/imagesLegs_Midbasitarsus_width_expanded,html</v>
      </c>
      <c r="M203" s="32"/>
      <c r="N203" s="32"/>
      <c r="P203" s="32" t="str">
        <f t="shared" si="11"/>
        <v>Legs_Midbasitarsus_width_expanded</v>
      </c>
      <c r="S203" t="str">
        <f t="shared" si="10"/>
        <v>resources/imagesLegs_Midbasitarsus_width_expanded,html</v>
      </c>
    </row>
    <row r="204" spans="1:19" x14ac:dyDescent="0.2">
      <c r="A204" t="s">
        <v>685</v>
      </c>
      <c r="B204" t="str">
        <f t="shared" si="7"/>
        <v>##Femur_shape</v>
      </c>
      <c r="E204" s="4">
        <v>1</v>
      </c>
      <c r="F204" t="s">
        <v>686</v>
      </c>
      <c r="H204" s="32">
        <v>88</v>
      </c>
      <c r="I204" s="32" t="s">
        <v>685</v>
      </c>
      <c r="J204" s="35" t="s">
        <v>155</v>
      </c>
      <c r="K204" s="32" t="s">
        <v>179</v>
      </c>
      <c r="L204" t="str">
        <f t="shared" si="8"/>
        <v>#resources/imagesLegs_Femur_shape_normal,html</v>
      </c>
      <c r="M204" s="32"/>
      <c r="N204" s="32"/>
      <c r="P204" s="32" t="str">
        <f t="shared" si="11"/>
        <v>Legs_Femur_shape_normal</v>
      </c>
      <c r="S204" t="str">
        <f t="shared" si="10"/>
        <v>resources/imagesLegs_Femur_shape_normal,html</v>
      </c>
    </row>
    <row r="205" spans="1:19" x14ac:dyDescent="0.2">
      <c r="A205" t="s">
        <v>664</v>
      </c>
      <c r="B205" t="str">
        <f t="shared" si="7"/>
        <v>Femur_shape</v>
      </c>
      <c r="E205" s="4">
        <v>1</v>
      </c>
      <c r="F205" t="s">
        <v>686</v>
      </c>
      <c r="H205">
        <v>89</v>
      </c>
      <c r="I205" t="s">
        <v>664</v>
      </c>
      <c r="J205" s="17" t="s">
        <v>155</v>
      </c>
      <c r="K205" t="s">
        <v>424</v>
      </c>
      <c r="L205" t="str">
        <f t="shared" si="8"/>
        <v>resources/imagesLegs_Femur_shape_ridged,html</v>
      </c>
      <c r="P205" t="str">
        <f t="shared" si="11"/>
        <v>Legs_Femur_shape_ridged</v>
      </c>
      <c r="S205" t="str">
        <f t="shared" si="10"/>
        <v>resources/imagesLegs_Femur_shape_ridged,html</v>
      </c>
    </row>
    <row r="206" spans="1:19" x14ac:dyDescent="0.2">
      <c r="A206" t="s">
        <v>664</v>
      </c>
      <c r="B206" t="str">
        <f t="shared" si="7"/>
        <v>Spurs</v>
      </c>
      <c r="E206" s="4">
        <v>1</v>
      </c>
      <c r="F206" t="s">
        <v>686</v>
      </c>
      <c r="H206">
        <v>90</v>
      </c>
      <c r="I206" t="s">
        <v>664</v>
      </c>
      <c r="J206" s="17" t="s">
        <v>156</v>
      </c>
      <c r="K206" t="s">
        <v>179</v>
      </c>
      <c r="L206" t="str">
        <f t="shared" si="8"/>
        <v>resources/imagesLegs_Spurs_normal,html</v>
      </c>
      <c r="P206" t="str">
        <f t="shared" si="11"/>
        <v>Legs_Spurs_normal</v>
      </c>
      <c r="S206" t="str">
        <f t="shared" si="10"/>
        <v>resources/imagesLegs_Spurs_normal,html</v>
      </c>
    </row>
    <row r="207" spans="1:19" x14ac:dyDescent="0.2">
      <c r="A207" t="s">
        <v>664</v>
      </c>
      <c r="B207" t="str">
        <f t="shared" si="7"/>
        <v>Spurs</v>
      </c>
      <c r="E207" s="4">
        <v>1</v>
      </c>
      <c r="F207" t="s">
        <v>686</v>
      </c>
      <c r="H207">
        <v>91</v>
      </c>
      <c r="I207" t="s">
        <v>664</v>
      </c>
      <c r="J207" s="17" t="s">
        <v>156</v>
      </c>
      <c r="K207" t="s">
        <v>253</v>
      </c>
      <c r="L207" t="str">
        <f t="shared" si="8"/>
        <v>resources/imagesLegs_Spurs_broad,html</v>
      </c>
      <c r="P207" t="str">
        <f t="shared" si="11"/>
        <v>Legs_Spurs_broad</v>
      </c>
      <c r="S207" t="str">
        <f t="shared" si="10"/>
        <v>resources/imagesLegs_Spurs_broad,html</v>
      </c>
    </row>
    <row r="208" spans="1:19" x14ac:dyDescent="0.2">
      <c r="A208" t="s">
        <v>664</v>
      </c>
      <c r="B208" t="str">
        <f t="shared" si="7"/>
        <v>Spurs</v>
      </c>
      <c r="E208" s="4">
        <v>1</v>
      </c>
      <c r="F208" t="s">
        <v>686</v>
      </c>
      <c r="H208">
        <v>92</v>
      </c>
      <c r="I208" t="s">
        <v>664</v>
      </c>
      <c r="J208" s="17" t="s">
        <v>156</v>
      </c>
      <c r="K208" t="s">
        <v>425</v>
      </c>
      <c r="L208" t="str">
        <f t="shared" si="8"/>
        <v>resources/imagesLegs_Spurs_curved,html</v>
      </c>
      <c r="P208" t="str">
        <f t="shared" si="11"/>
        <v>Legs_Spurs_curved</v>
      </c>
      <c r="S208" t="str">
        <f t="shared" si="10"/>
        <v>resources/imagesLegs_Spurs_curved,html</v>
      </c>
    </row>
    <row r="209" spans="1:19" x14ac:dyDescent="0.2">
      <c r="A209" t="s">
        <v>685</v>
      </c>
      <c r="B209" t="str">
        <f t="shared" si="7"/>
        <v>##Spurs</v>
      </c>
      <c r="E209" s="4">
        <v>1</v>
      </c>
      <c r="F209" t="s">
        <v>686</v>
      </c>
      <c r="H209" s="32">
        <v>93</v>
      </c>
      <c r="I209" s="32" t="s">
        <v>685</v>
      </c>
      <c r="J209" s="35" t="s">
        <v>156</v>
      </c>
      <c r="K209" s="32" t="s">
        <v>425</v>
      </c>
      <c r="L209" t="str">
        <f t="shared" si="8"/>
        <v>#resources/imagesLegs_Spurs_curved_2,html</v>
      </c>
      <c r="M209" s="32"/>
      <c r="N209" s="32"/>
      <c r="P209" s="32" t="s">
        <v>666</v>
      </c>
      <c r="S209" t="str">
        <f t="shared" si="10"/>
        <v>resources/imagesLegs_Spurs_curved_2,html</v>
      </c>
    </row>
    <row r="210" spans="1:19" x14ac:dyDescent="0.2">
      <c r="A210" t="s">
        <v>664</v>
      </c>
      <c r="B210" t="str">
        <f t="shared" si="7"/>
        <v>Tibia_shape</v>
      </c>
      <c r="E210" s="4">
        <v>1</v>
      </c>
      <c r="F210" t="s">
        <v>686</v>
      </c>
      <c r="H210">
        <v>94</v>
      </c>
      <c r="I210" t="s">
        <v>664</v>
      </c>
      <c r="J210" s="17" t="s">
        <v>157</v>
      </c>
      <c r="K210" t="s">
        <v>179</v>
      </c>
      <c r="L210" t="str">
        <f t="shared" si="8"/>
        <v>resources/imagesLegs_Tibia_shape_normal,html</v>
      </c>
      <c r="P210" t="str">
        <f t="shared" ref="P210:P218" si="12">CONCATENATE("Legs_",J210,"_",K210)</f>
        <v>Legs_Tibia_shape_normal</v>
      </c>
      <c r="S210" t="str">
        <f t="shared" si="10"/>
        <v>resources/imagesLegs_Tibia_shape_normal,html</v>
      </c>
    </row>
    <row r="211" spans="1:19" x14ac:dyDescent="0.2">
      <c r="A211" t="s">
        <v>664</v>
      </c>
      <c r="B211" t="str">
        <f t="shared" si="7"/>
        <v>Tibia_shape</v>
      </c>
      <c r="E211" s="4">
        <v>1</v>
      </c>
      <c r="F211" t="s">
        <v>686</v>
      </c>
      <c r="H211">
        <v>95</v>
      </c>
      <c r="I211" t="s">
        <v>664</v>
      </c>
      <c r="J211" s="17" t="s">
        <v>157</v>
      </c>
      <c r="K211" t="s">
        <v>253</v>
      </c>
      <c r="L211" t="str">
        <f t="shared" si="8"/>
        <v>resources/imagesLegs_Tibia_shape_broad,html</v>
      </c>
      <c r="P211" t="str">
        <f t="shared" si="12"/>
        <v>Legs_Tibia_shape_broad</v>
      </c>
      <c r="S211" t="str">
        <f t="shared" si="10"/>
        <v>resources/imagesLegs_Tibia_shape_broad,html</v>
      </c>
    </row>
    <row r="212" spans="1:19" x14ac:dyDescent="0.2">
      <c r="A212" t="s">
        <v>664</v>
      </c>
      <c r="B212" t="str">
        <f t="shared" si="7"/>
        <v>Tibia_shape</v>
      </c>
      <c r="E212" s="4">
        <v>1</v>
      </c>
      <c r="F212" t="s">
        <v>686</v>
      </c>
      <c r="H212">
        <v>96</v>
      </c>
      <c r="I212" t="s">
        <v>664</v>
      </c>
      <c r="J212" s="17" t="s">
        <v>157</v>
      </c>
      <c r="K212" t="s">
        <v>404</v>
      </c>
      <c r="L212" t="str">
        <f t="shared" si="8"/>
        <v>resources/imagesLegs_Tibia_shape_narrow,html</v>
      </c>
      <c r="P212" t="str">
        <f t="shared" si="12"/>
        <v>Legs_Tibia_shape_narrow</v>
      </c>
      <c r="S212" t="str">
        <f t="shared" si="10"/>
        <v>resources/imagesLegs_Tibia_shape_narrow,html</v>
      </c>
    </row>
    <row r="213" spans="1:19" x14ac:dyDescent="0.2">
      <c r="A213" t="s">
        <v>685</v>
      </c>
      <c r="B213" t="str">
        <f t="shared" si="7"/>
        <v>##Scopa_color</v>
      </c>
      <c r="E213" s="4">
        <v>1</v>
      </c>
      <c r="F213" t="s">
        <v>686</v>
      </c>
      <c r="H213" s="32">
        <v>97</v>
      </c>
      <c r="I213" s="32" t="s">
        <v>685</v>
      </c>
      <c r="J213" s="35" t="s">
        <v>158</v>
      </c>
      <c r="K213" s="32" t="s">
        <v>177</v>
      </c>
      <c r="L213" t="str">
        <f t="shared" si="8"/>
        <v>#resources/imagesLegs_Scopa_color_pale,html</v>
      </c>
      <c r="M213" s="32"/>
      <c r="N213" s="32"/>
      <c r="P213" s="32" t="str">
        <f t="shared" si="12"/>
        <v>Legs_Scopa_color_pale</v>
      </c>
      <c r="S213" t="str">
        <f t="shared" si="10"/>
        <v>resources/imagesLegs_Scopa_color_pale,html</v>
      </c>
    </row>
    <row r="214" spans="1:19" x14ac:dyDescent="0.2">
      <c r="A214" t="s">
        <v>685</v>
      </c>
      <c r="B214" t="str">
        <f t="shared" si="7"/>
        <v>##Scopa_color</v>
      </c>
      <c r="E214" s="4">
        <v>1</v>
      </c>
      <c r="F214" t="s">
        <v>686</v>
      </c>
      <c r="H214" s="32">
        <v>98</v>
      </c>
      <c r="I214" s="32" t="s">
        <v>685</v>
      </c>
      <c r="J214" s="35" t="s">
        <v>158</v>
      </c>
      <c r="K214" s="32" t="s">
        <v>409</v>
      </c>
      <c r="L214" t="str">
        <f t="shared" si="8"/>
        <v>#resources/imagesLegs_Scopa_color_mixed,html</v>
      </c>
      <c r="M214" s="32"/>
      <c r="N214" s="32"/>
      <c r="P214" s="32" t="str">
        <f t="shared" si="12"/>
        <v>Legs_Scopa_color_mixed</v>
      </c>
      <c r="S214" t="str">
        <f t="shared" si="10"/>
        <v>resources/imagesLegs_Scopa_color_mixed,html</v>
      </c>
    </row>
    <row r="215" spans="1:19" x14ac:dyDescent="0.2">
      <c r="A215" t="s">
        <v>685</v>
      </c>
      <c r="B215" t="str">
        <f t="shared" si="7"/>
        <v>##Scopa_color</v>
      </c>
      <c r="E215" s="4">
        <v>1</v>
      </c>
      <c r="F215" t="s">
        <v>686</v>
      </c>
      <c r="H215" s="32">
        <v>99</v>
      </c>
      <c r="I215" s="32" t="s">
        <v>685</v>
      </c>
      <c r="J215" s="35" t="s">
        <v>158</v>
      </c>
      <c r="K215" s="32" t="s">
        <v>208</v>
      </c>
      <c r="L215" t="str">
        <f t="shared" si="8"/>
        <v>#resources/imagesLegs_Scopa_color_dark,html</v>
      </c>
      <c r="M215" s="32"/>
      <c r="N215" s="32"/>
      <c r="P215" s="32" t="str">
        <f t="shared" si="12"/>
        <v>Legs_Scopa_color_dark</v>
      </c>
      <c r="S215" t="str">
        <f t="shared" si="10"/>
        <v>resources/imagesLegs_Scopa_color_dark,html</v>
      </c>
    </row>
    <row r="216" spans="1:19" x14ac:dyDescent="0.2">
      <c r="A216" t="s">
        <v>664</v>
      </c>
      <c r="B216" t="str">
        <f t="shared" si="7"/>
        <v>Scopa_hairs</v>
      </c>
      <c r="E216" s="4">
        <v>1</v>
      </c>
      <c r="F216" t="s">
        <v>686</v>
      </c>
      <c r="H216">
        <v>100</v>
      </c>
      <c r="I216" t="s">
        <v>664</v>
      </c>
      <c r="J216" s="17" t="s">
        <v>159</v>
      </c>
      <c r="K216" t="s">
        <v>197</v>
      </c>
      <c r="L216" t="str">
        <f t="shared" si="8"/>
        <v>resources/imagesLegs_Scopa_hairs_simple,html</v>
      </c>
      <c r="P216" t="str">
        <f t="shared" si="12"/>
        <v>Legs_Scopa_hairs_simple</v>
      </c>
      <c r="S216" t="str">
        <f t="shared" si="10"/>
        <v>resources/imagesLegs_Scopa_hairs_simple,html</v>
      </c>
    </row>
    <row r="217" spans="1:19" x14ac:dyDescent="0.2">
      <c r="A217" t="s">
        <v>685</v>
      </c>
      <c r="B217" t="str">
        <f t="shared" si="7"/>
        <v>##Scopa_hairs</v>
      </c>
      <c r="E217" s="4">
        <v>1</v>
      </c>
      <c r="F217" t="s">
        <v>686</v>
      </c>
      <c r="H217" s="32">
        <v>101</v>
      </c>
      <c r="I217" s="32" t="s">
        <v>685</v>
      </c>
      <c r="J217" s="35" t="s">
        <v>159</v>
      </c>
      <c r="K217" s="32" t="s">
        <v>336</v>
      </c>
      <c r="L217" t="str">
        <f t="shared" si="8"/>
        <v>#resources/imagesLegs_Scopa_hairs_weak,html</v>
      </c>
      <c r="M217" s="32"/>
      <c r="N217" s="32"/>
      <c r="P217" s="32" t="str">
        <f t="shared" si="12"/>
        <v>Legs_Scopa_hairs_weak</v>
      </c>
      <c r="S217" t="str">
        <f t="shared" si="10"/>
        <v>resources/imagesLegs_Scopa_hairs_weak,html</v>
      </c>
    </row>
    <row r="218" spans="1:19" x14ac:dyDescent="0.2">
      <c r="A218" t="s">
        <v>664</v>
      </c>
      <c r="B218" t="str">
        <f t="shared" si="7"/>
        <v>Scopa_hairs</v>
      </c>
      <c r="E218" s="4">
        <v>1</v>
      </c>
      <c r="F218" t="s">
        <v>686</v>
      </c>
      <c r="H218">
        <v>102</v>
      </c>
      <c r="I218" t="s">
        <v>664</v>
      </c>
      <c r="J218" s="17" t="s">
        <v>159</v>
      </c>
      <c r="K218" t="s">
        <v>275</v>
      </c>
      <c r="L218" t="str">
        <f t="shared" si="8"/>
        <v>resources/imagesLegs_Scopa_hairs_plumose,html</v>
      </c>
      <c r="P218" t="str">
        <f t="shared" si="12"/>
        <v>Legs_Scopa_hairs_plumose</v>
      </c>
      <c r="S218" t="str">
        <f t="shared" si="10"/>
        <v>resources/imagesLegs_Scopa_hairs_plumose,html</v>
      </c>
    </row>
    <row r="219" spans="1:19" x14ac:dyDescent="0.2">
      <c r="A219" t="s">
        <v>664</v>
      </c>
      <c r="B219" t="str">
        <f t="shared" si="7"/>
        <v>Scopa_hairs</v>
      </c>
      <c r="E219" s="4">
        <v>1</v>
      </c>
      <c r="F219" t="s">
        <v>686</v>
      </c>
      <c r="H219">
        <v>103</v>
      </c>
      <c r="I219" t="s">
        <v>664</v>
      </c>
      <c r="J219" s="17" t="s">
        <v>159</v>
      </c>
      <c r="K219" t="s">
        <v>275</v>
      </c>
      <c r="L219" t="str">
        <f t="shared" si="8"/>
        <v>resources/imagesLegs_Scopa_hairs_plumose_2,html</v>
      </c>
      <c r="P219" t="s">
        <v>683</v>
      </c>
      <c r="S219" t="str">
        <f t="shared" si="10"/>
        <v>resources/imagesLegs_Scopa_hairs_plumose_2,html</v>
      </c>
    </row>
    <row r="220" spans="1:19" x14ac:dyDescent="0.2">
      <c r="A220" t="s">
        <v>664</v>
      </c>
      <c r="B220" t="str">
        <f t="shared" si="7"/>
        <v>Flocculus</v>
      </c>
      <c r="E220" s="4">
        <v>1</v>
      </c>
      <c r="F220" t="s">
        <v>686</v>
      </c>
      <c r="H220">
        <v>104</v>
      </c>
      <c r="I220" t="s">
        <v>664</v>
      </c>
      <c r="J220" s="17" t="s">
        <v>160</v>
      </c>
      <c r="K220" t="s">
        <v>198</v>
      </c>
      <c r="L220" t="str">
        <f t="shared" si="8"/>
        <v>resources/imagesLegs_Flocculus_complete,html</v>
      </c>
      <c r="P220" t="str">
        <f>CONCATENATE("Legs_",J220,"_",K220)</f>
        <v>Legs_Flocculus_complete</v>
      </c>
      <c r="S220" t="str">
        <f t="shared" si="10"/>
        <v>resources/imagesLegs_Flocculus_complete,html</v>
      </c>
    </row>
    <row r="221" spans="1:19" x14ac:dyDescent="0.2">
      <c r="A221" t="s">
        <v>664</v>
      </c>
      <c r="B221" t="str">
        <f t="shared" si="7"/>
        <v>Flocculus</v>
      </c>
      <c r="E221" s="4">
        <v>1</v>
      </c>
      <c r="F221" t="s">
        <v>686</v>
      </c>
      <c r="H221">
        <v>105</v>
      </c>
      <c r="I221" t="s">
        <v>664</v>
      </c>
      <c r="J221" s="17" t="s">
        <v>160</v>
      </c>
      <c r="K221" t="s">
        <v>200</v>
      </c>
      <c r="L221" t="str">
        <f t="shared" si="8"/>
        <v>resources/imagesLegs_Flocculus_incomplete,html</v>
      </c>
      <c r="P221" t="str">
        <f>CONCATENATE("Legs_",J221,"_",K221)</f>
        <v>Legs_Flocculus_incomplete</v>
      </c>
      <c r="S221" t="str">
        <f t="shared" si="10"/>
        <v>resources/imagesLegs_Flocculus_incomplete,html</v>
      </c>
    </row>
    <row r="222" spans="1:19" x14ac:dyDescent="0.2">
      <c r="A222" t="s">
        <v>664</v>
      </c>
      <c r="B222" t="str">
        <f t="shared" si="7"/>
        <v>Pronotal_angle</v>
      </c>
      <c r="E222" s="4">
        <v>1</v>
      </c>
      <c r="F222" t="s">
        <v>686</v>
      </c>
      <c r="H222">
        <v>106</v>
      </c>
      <c r="I222" t="s">
        <v>664</v>
      </c>
      <c r="J222" s="11" t="s">
        <v>161</v>
      </c>
      <c r="K222" t="s">
        <v>218</v>
      </c>
      <c r="L222" t="str">
        <f t="shared" si="8"/>
        <v>resources/imagesThorax_Pronotal_angle_present,html</v>
      </c>
      <c r="P222" t="str">
        <f t="shared" ref="P222:P233" si="13">CONCATENATE("Thorax_",J222,"_",K222)</f>
        <v>Thorax_Pronotal_angle_present</v>
      </c>
      <c r="S222" t="str">
        <f t="shared" si="10"/>
        <v>resources/imagesThorax_Pronotal_angle_present,html</v>
      </c>
    </row>
    <row r="223" spans="1:19" x14ac:dyDescent="0.2">
      <c r="A223" t="s">
        <v>664</v>
      </c>
      <c r="B223" t="str">
        <f t="shared" si="7"/>
        <v>Pronotal_angle</v>
      </c>
      <c r="E223" s="4">
        <v>1</v>
      </c>
      <c r="F223" t="s">
        <v>686</v>
      </c>
      <c r="H223">
        <v>107</v>
      </c>
      <c r="I223" t="s">
        <v>664</v>
      </c>
      <c r="J223" s="11" t="s">
        <v>161</v>
      </c>
      <c r="K223" t="s">
        <v>336</v>
      </c>
      <c r="L223" t="str">
        <f t="shared" si="8"/>
        <v>resources/imagesThorax_Pronotal_angle_weak,html</v>
      </c>
      <c r="P223" t="str">
        <f t="shared" si="13"/>
        <v>Thorax_Pronotal_angle_weak</v>
      </c>
      <c r="S223" t="str">
        <f t="shared" si="10"/>
        <v>resources/imagesThorax_Pronotal_angle_weak,html</v>
      </c>
    </row>
    <row r="224" spans="1:19" x14ac:dyDescent="0.2">
      <c r="A224" t="s">
        <v>664</v>
      </c>
      <c r="B224" t="str">
        <f t="shared" si="7"/>
        <v>Pronotal_angle</v>
      </c>
      <c r="E224" s="4">
        <v>1</v>
      </c>
      <c r="F224" t="s">
        <v>686</v>
      </c>
      <c r="H224">
        <v>108</v>
      </c>
      <c r="I224" t="s">
        <v>664</v>
      </c>
      <c r="J224" s="11" t="s">
        <v>161</v>
      </c>
      <c r="K224" t="s">
        <v>58</v>
      </c>
      <c r="L224" t="str">
        <f t="shared" si="8"/>
        <v>resources/imagesThorax_Pronotal_angle_absent,html</v>
      </c>
      <c r="P224" t="str">
        <f t="shared" si="13"/>
        <v>Thorax_Pronotal_angle_absent</v>
      </c>
      <c r="S224" t="str">
        <f t="shared" si="10"/>
        <v>resources/imagesThorax_Pronotal_angle_absent,html</v>
      </c>
    </row>
    <row r="225" spans="1:19" x14ac:dyDescent="0.2">
      <c r="A225" t="s">
        <v>664</v>
      </c>
      <c r="B225" t="str">
        <f t="shared" si="7"/>
        <v>Thorax_hair</v>
      </c>
      <c r="E225" s="4">
        <v>1</v>
      </c>
      <c r="F225" t="s">
        <v>686</v>
      </c>
      <c r="H225">
        <v>109</v>
      </c>
      <c r="I225" t="s">
        <v>664</v>
      </c>
      <c r="J225" s="11" t="s">
        <v>162</v>
      </c>
      <c r="K225" t="s">
        <v>177</v>
      </c>
      <c r="L225" t="str">
        <f t="shared" si="8"/>
        <v>resources/imagesThorax_Thorax_hair_pale,html</v>
      </c>
      <c r="P225" t="str">
        <f t="shared" si="13"/>
        <v>Thorax_Thorax_hair_pale</v>
      </c>
      <c r="S225" t="str">
        <f t="shared" si="10"/>
        <v>resources/imagesThorax_Thorax_hair_pale,html</v>
      </c>
    </row>
    <row r="226" spans="1:19" x14ac:dyDescent="0.2">
      <c r="A226" t="s">
        <v>685</v>
      </c>
      <c r="B226" t="str">
        <f t="shared" si="7"/>
        <v>##Thorax_hair</v>
      </c>
      <c r="E226" s="4">
        <v>1</v>
      </c>
      <c r="F226" t="s">
        <v>686</v>
      </c>
      <c r="H226" s="32">
        <v>110</v>
      </c>
      <c r="I226" s="32" t="s">
        <v>685</v>
      </c>
      <c r="J226" s="35" t="s">
        <v>162</v>
      </c>
      <c r="K226" s="32" t="s">
        <v>208</v>
      </c>
      <c r="L226" t="str">
        <f t="shared" si="8"/>
        <v>#resources/imagesThorax_Thorax_hair_dark,html</v>
      </c>
      <c r="M226" s="32"/>
      <c r="N226" s="32"/>
      <c r="P226" s="32" t="str">
        <f t="shared" si="13"/>
        <v>Thorax_Thorax_hair_dark</v>
      </c>
      <c r="S226" t="str">
        <f t="shared" si="10"/>
        <v>resources/imagesThorax_Thorax_hair_dark,html</v>
      </c>
    </row>
    <row r="227" spans="1:19" x14ac:dyDescent="0.2">
      <c r="A227" t="s">
        <v>664</v>
      </c>
      <c r="B227" t="str">
        <f t="shared" si="7"/>
        <v>Thorax_hair</v>
      </c>
      <c r="E227" s="4">
        <v>1</v>
      </c>
      <c r="F227" t="s">
        <v>686</v>
      </c>
      <c r="H227">
        <v>111</v>
      </c>
      <c r="I227" t="s">
        <v>664</v>
      </c>
      <c r="J227" s="11" t="s">
        <v>162</v>
      </c>
      <c r="K227" t="s">
        <v>409</v>
      </c>
      <c r="L227" t="str">
        <f t="shared" si="8"/>
        <v>resources/imagesThorax_Thorax_hair_mixed,html</v>
      </c>
      <c r="P227" t="str">
        <f t="shared" si="13"/>
        <v>Thorax_Thorax_hair_mixed</v>
      </c>
      <c r="S227" t="str">
        <f t="shared" si="10"/>
        <v>resources/imagesThorax_Thorax_hair_mixed,html</v>
      </c>
    </row>
    <row r="228" spans="1:19" x14ac:dyDescent="0.2">
      <c r="A228" t="s">
        <v>685</v>
      </c>
      <c r="B228" t="str">
        <f t="shared" si="7"/>
        <v>##Thorax_integument</v>
      </c>
      <c r="E228" s="4">
        <v>1</v>
      </c>
      <c r="F228" t="s">
        <v>686</v>
      </c>
      <c r="H228" s="32">
        <v>112</v>
      </c>
      <c r="I228" s="32" t="s">
        <v>685</v>
      </c>
      <c r="J228" s="35" t="s">
        <v>163</v>
      </c>
      <c r="K228" s="32" t="s">
        <v>208</v>
      </c>
      <c r="L228" t="str">
        <f t="shared" si="8"/>
        <v>#resources/imagesThorax_Thorax_integument_dark,html</v>
      </c>
      <c r="M228" s="32"/>
      <c r="N228" s="32"/>
      <c r="P228" s="32" t="str">
        <f t="shared" si="13"/>
        <v>Thorax_Thorax_integument_dark</v>
      </c>
      <c r="S228" t="str">
        <f t="shared" si="10"/>
        <v>resources/imagesThorax_Thorax_integument_dark,html</v>
      </c>
    </row>
    <row r="229" spans="1:19" x14ac:dyDescent="0.2">
      <c r="A229" t="s">
        <v>685</v>
      </c>
      <c r="B229" t="str">
        <f t="shared" si="7"/>
        <v>##Thorax_integument</v>
      </c>
      <c r="E229" s="4">
        <v>1</v>
      </c>
      <c r="F229" t="s">
        <v>686</v>
      </c>
      <c r="H229" s="32">
        <v>113</v>
      </c>
      <c r="I229" s="32" t="s">
        <v>685</v>
      </c>
      <c r="J229" s="35" t="s">
        <v>163</v>
      </c>
      <c r="K229" s="32" t="s">
        <v>407</v>
      </c>
      <c r="L229" t="str">
        <f t="shared" si="8"/>
        <v>#resources/imagesThorax_Thorax_integument_faint,html</v>
      </c>
      <c r="M229" s="32"/>
      <c r="N229" s="32"/>
      <c r="P229" s="32" t="str">
        <f t="shared" si="13"/>
        <v>Thorax_Thorax_integument_faint</v>
      </c>
      <c r="S229" t="str">
        <f t="shared" si="10"/>
        <v>resources/imagesThorax_Thorax_integument_faint,html</v>
      </c>
    </row>
    <row r="230" spans="1:19" x14ac:dyDescent="0.2">
      <c r="A230" t="s">
        <v>664</v>
      </c>
      <c r="B230" t="str">
        <f t="shared" si="7"/>
        <v>Thorax_integument</v>
      </c>
      <c r="E230" s="4">
        <v>1</v>
      </c>
      <c r="F230" t="s">
        <v>686</v>
      </c>
      <c r="H230">
        <v>114</v>
      </c>
      <c r="I230" t="s">
        <v>664</v>
      </c>
      <c r="J230" s="11" t="s">
        <v>163</v>
      </c>
      <c r="K230" t="s">
        <v>305</v>
      </c>
      <c r="L230" t="str">
        <f t="shared" si="8"/>
        <v>resources/imagesThorax_Thorax_integument_metallic,html</v>
      </c>
      <c r="P230" t="str">
        <f t="shared" si="13"/>
        <v>Thorax_Thorax_integument_metallic</v>
      </c>
      <c r="S230" t="str">
        <f t="shared" si="10"/>
        <v>resources/imagesThorax_Thorax_integument_metallic,html</v>
      </c>
    </row>
    <row r="231" spans="1:19" x14ac:dyDescent="0.2">
      <c r="A231" t="s">
        <v>664</v>
      </c>
      <c r="B231" t="str">
        <f t="shared" si="7"/>
        <v>Pronotal_ridge</v>
      </c>
      <c r="E231" s="4">
        <v>1</v>
      </c>
      <c r="F231" t="s">
        <v>686</v>
      </c>
      <c r="H231">
        <v>115</v>
      </c>
      <c r="I231" t="s">
        <v>664</v>
      </c>
      <c r="J231" s="11" t="s">
        <v>164</v>
      </c>
      <c r="K231" t="s">
        <v>58</v>
      </c>
      <c r="L231" t="str">
        <f t="shared" si="8"/>
        <v>resources/imagesThorax_Pronotal_ridge_absent,html</v>
      </c>
      <c r="P231" t="str">
        <f t="shared" si="13"/>
        <v>Thorax_Pronotal_ridge_absent</v>
      </c>
      <c r="S231" t="str">
        <f t="shared" si="10"/>
        <v>resources/imagesThorax_Pronotal_ridge_absent,html</v>
      </c>
    </row>
    <row r="232" spans="1:19" x14ac:dyDescent="0.2">
      <c r="A232" t="s">
        <v>685</v>
      </c>
      <c r="B232" t="str">
        <f t="shared" si="7"/>
        <v>##Pronotal_ridge</v>
      </c>
      <c r="E232" s="4">
        <v>1</v>
      </c>
      <c r="F232" t="s">
        <v>686</v>
      </c>
      <c r="H232" s="32">
        <v>116</v>
      </c>
      <c r="I232" s="32" t="s">
        <v>685</v>
      </c>
      <c r="J232" s="35" t="s">
        <v>164</v>
      </c>
      <c r="K232" s="32" t="s">
        <v>336</v>
      </c>
      <c r="L232" t="str">
        <f t="shared" si="8"/>
        <v>#resources/imagesThorax_Pronotal_ridge_weak,html</v>
      </c>
      <c r="M232" s="32"/>
      <c r="N232" s="32"/>
      <c r="P232" s="32" t="str">
        <f t="shared" si="13"/>
        <v>Thorax_Pronotal_ridge_weak</v>
      </c>
      <c r="S232" t="str">
        <f t="shared" si="10"/>
        <v>resources/imagesThorax_Pronotal_ridge_weak,html</v>
      </c>
    </row>
    <row r="233" spans="1:19" x14ac:dyDescent="0.2">
      <c r="A233" t="s">
        <v>664</v>
      </c>
      <c r="B233" t="str">
        <f t="shared" si="7"/>
        <v>Pronotal_ridge</v>
      </c>
      <c r="E233" s="4">
        <v>1</v>
      </c>
      <c r="F233" t="s">
        <v>686</v>
      </c>
      <c r="H233">
        <v>117</v>
      </c>
      <c r="I233" t="s">
        <v>664</v>
      </c>
      <c r="J233" s="11" t="s">
        <v>164</v>
      </c>
      <c r="K233" t="s">
        <v>218</v>
      </c>
      <c r="L233" t="str">
        <f t="shared" si="8"/>
        <v>resources/imagesThorax_Pronotal_ridge_present,html</v>
      </c>
      <c r="P233" t="str">
        <f t="shared" si="13"/>
        <v>Thorax_Pronotal_ridge_present</v>
      </c>
      <c r="S233" t="str">
        <f t="shared" si="10"/>
        <v>resources/imagesThorax_Pronotal_ridge_present,html</v>
      </c>
    </row>
    <row r="234" spans="1:19" x14ac:dyDescent="0.2">
      <c r="A234" t="s">
        <v>664</v>
      </c>
      <c r="B234" t="str">
        <f t="shared" si="7"/>
        <v>Pronotal_ridge</v>
      </c>
      <c r="E234" s="4">
        <v>1</v>
      </c>
      <c r="F234" t="s">
        <v>686</v>
      </c>
      <c r="H234">
        <v>118</v>
      </c>
      <c r="I234" t="s">
        <v>664</v>
      </c>
      <c r="J234" s="11" t="s">
        <v>164</v>
      </c>
      <c r="K234" t="s">
        <v>218</v>
      </c>
      <c r="L234" t="str">
        <f t="shared" si="8"/>
        <v>resources/imagesThorax_Pronotal_ridge_present_2,html</v>
      </c>
      <c r="P234" t="s">
        <v>682</v>
      </c>
      <c r="S234" t="str">
        <f t="shared" si="10"/>
        <v>resources/imagesThorax_Pronotal_ridge_present_2,html</v>
      </c>
    </row>
    <row r="235" spans="1:19" x14ac:dyDescent="0.2">
      <c r="A235" t="s">
        <v>664</v>
      </c>
      <c r="B235" t="str">
        <f t="shared" si="7"/>
        <v>Corbicula</v>
      </c>
      <c r="E235" s="4">
        <v>1</v>
      </c>
      <c r="F235" t="s">
        <v>686</v>
      </c>
      <c r="H235">
        <v>119</v>
      </c>
      <c r="I235" t="s">
        <v>664</v>
      </c>
      <c r="J235" s="11" t="s">
        <v>70</v>
      </c>
      <c r="K235" t="s">
        <v>198</v>
      </c>
      <c r="L235" t="str">
        <f t="shared" si="8"/>
        <v>resources/imagesThorax_Corbicula_complete,html</v>
      </c>
      <c r="P235" t="str">
        <f t="shared" ref="P235:P244" si="14">CONCATENATE("Thorax_",J235,"_",K235)</f>
        <v>Thorax_Corbicula_complete</v>
      </c>
      <c r="S235" t="str">
        <f t="shared" si="10"/>
        <v>resources/imagesThorax_Corbicula_complete,html</v>
      </c>
    </row>
    <row r="236" spans="1:19" x14ac:dyDescent="0.2">
      <c r="A236" t="s">
        <v>664</v>
      </c>
      <c r="B236" t="str">
        <f t="shared" si="7"/>
        <v>Corbicula</v>
      </c>
      <c r="E236" s="4">
        <v>1</v>
      </c>
      <c r="F236" t="s">
        <v>686</v>
      </c>
      <c r="H236">
        <v>120</v>
      </c>
      <c r="I236" t="s">
        <v>664</v>
      </c>
      <c r="J236" s="11" t="s">
        <v>70</v>
      </c>
      <c r="K236" t="s">
        <v>200</v>
      </c>
      <c r="L236" t="str">
        <f t="shared" si="8"/>
        <v>resources/imagesThorax_Corbicula_incomplete,html</v>
      </c>
      <c r="P236" t="str">
        <f t="shared" si="14"/>
        <v>Thorax_Corbicula_incomplete</v>
      </c>
      <c r="S236" t="str">
        <f t="shared" si="10"/>
        <v>resources/imagesThorax_Corbicula_incomplete,html</v>
      </c>
    </row>
    <row r="237" spans="1:19" x14ac:dyDescent="0.2">
      <c r="A237" t="s">
        <v>685</v>
      </c>
      <c r="B237" t="str">
        <f t="shared" si="7"/>
        <v>##Triangle_ridge</v>
      </c>
      <c r="E237" s="4">
        <v>1</v>
      </c>
      <c r="F237" t="s">
        <v>686</v>
      </c>
      <c r="H237" s="32">
        <v>121</v>
      </c>
      <c r="I237" s="32" t="s">
        <v>685</v>
      </c>
      <c r="J237" s="35" t="s">
        <v>201</v>
      </c>
      <c r="K237" s="32" t="s">
        <v>58</v>
      </c>
      <c r="L237" t="str">
        <f t="shared" si="8"/>
        <v>#resources/imagesThorax_Triangle_ridge_absent,html</v>
      </c>
      <c r="M237" s="32"/>
      <c r="N237" s="32"/>
      <c r="P237" s="32" t="str">
        <f t="shared" si="14"/>
        <v>Thorax_Triangle_ridge_absent</v>
      </c>
      <c r="S237" t="str">
        <f t="shared" si="10"/>
        <v>resources/imagesThorax_Triangle_ridge_absent,html</v>
      </c>
    </row>
    <row r="238" spans="1:19" x14ac:dyDescent="0.2">
      <c r="A238" t="s">
        <v>664</v>
      </c>
      <c r="B238" t="str">
        <f t="shared" si="7"/>
        <v>Triangle_ridge</v>
      </c>
      <c r="E238" s="4">
        <v>1</v>
      </c>
      <c r="F238" t="s">
        <v>686</v>
      </c>
      <c r="H238">
        <v>122</v>
      </c>
      <c r="I238" t="s">
        <v>664</v>
      </c>
      <c r="J238" s="11" t="s">
        <v>201</v>
      </c>
      <c r="K238" t="s">
        <v>218</v>
      </c>
      <c r="L238" t="str">
        <f t="shared" si="8"/>
        <v>resources/imagesThorax_Triangle_ridge_present,html</v>
      </c>
      <c r="P238" t="str">
        <f t="shared" si="14"/>
        <v>Thorax_Triangle_ridge_present</v>
      </c>
      <c r="S238" t="str">
        <f t="shared" si="10"/>
        <v>resources/imagesThorax_Triangle_ridge_present,html</v>
      </c>
    </row>
    <row r="239" spans="1:19" x14ac:dyDescent="0.2">
      <c r="A239" t="s">
        <v>685</v>
      </c>
      <c r="B239" t="str">
        <f t="shared" si="7"/>
        <v>##Triangle_sculpture</v>
      </c>
      <c r="E239" s="4">
        <v>1</v>
      </c>
      <c r="F239" t="s">
        <v>686</v>
      </c>
      <c r="H239" s="32">
        <v>123</v>
      </c>
      <c r="I239" s="32" t="s">
        <v>685</v>
      </c>
      <c r="J239" s="35" t="s">
        <v>165</v>
      </c>
      <c r="K239" s="32">
        <v>0</v>
      </c>
      <c r="L239" t="str">
        <f t="shared" si="8"/>
        <v>#resources/imagesThorax_Triangle_sculpture_0,html</v>
      </c>
      <c r="M239" s="32"/>
      <c r="N239" s="32"/>
      <c r="P239" s="32" t="str">
        <f t="shared" si="14"/>
        <v>Thorax_Triangle_sculpture_0</v>
      </c>
      <c r="S239" t="str">
        <f t="shared" si="10"/>
        <v>resources/imagesThorax_Triangle_sculpture_0,html</v>
      </c>
    </row>
    <row r="240" spans="1:19" x14ac:dyDescent="0.2">
      <c r="A240" t="s">
        <v>664</v>
      </c>
      <c r="B240" t="str">
        <f t="shared" si="7"/>
        <v>Triangle_sculpture</v>
      </c>
      <c r="E240" s="4">
        <v>1</v>
      </c>
      <c r="F240" t="s">
        <v>686</v>
      </c>
      <c r="H240">
        <v>124</v>
      </c>
      <c r="I240" t="s">
        <v>664</v>
      </c>
      <c r="J240" s="11" t="s">
        <v>165</v>
      </c>
      <c r="K240" s="25" t="s">
        <v>345</v>
      </c>
      <c r="L240" t="str">
        <f t="shared" si="8"/>
        <v>resources/imagesThorax_Triangle_sculpture_5-50,html</v>
      </c>
      <c r="P240" t="str">
        <f t="shared" si="14"/>
        <v>Thorax_Triangle_sculpture_5-50</v>
      </c>
      <c r="S240" t="str">
        <f t="shared" si="10"/>
        <v>resources/imagesThorax_Triangle_sculpture_5-50,html</v>
      </c>
    </row>
    <row r="241" spans="1:19" x14ac:dyDescent="0.2">
      <c r="A241" t="s">
        <v>685</v>
      </c>
      <c r="B241" t="str">
        <f t="shared" si="7"/>
        <v>##Triangle_sculpture</v>
      </c>
      <c r="E241" s="4">
        <v>1</v>
      </c>
      <c r="F241" t="s">
        <v>686</v>
      </c>
      <c r="H241" s="32">
        <v>125</v>
      </c>
      <c r="I241" s="32" t="s">
        <v>685</v>
      </c>
      <c r="J241" s="35" t="s">
        <v>165</v>
      </c>
      <c r="K241" s="32" t="s">
        <v>332</v>
      </c>
      <c r="L241" t="str">
        <f t="shared" si="8"/>
        <v>#resources/imagesThorax_Triangle_sculpture_50-80,html</v>
      </c>
      <c r="M241" s="32"/>
      <c r="N241" s="32"/>
      <c r="P241" s="32" t="str">
        <f t="shared" si="14"/>
        <v>Thorax_Triangle_sculpture_50-80</v>
      </c>
      <c r="S241" t="str">
        <f t="shared" si="10"/>
        <v>resources/imagesThorax_Triangle_sculpture_50-80,html</v>
      </c>
    </row>
    <row r="242" spans="1:19" x14ac:dyDescent="0.2">
      <c r="A242" t="s">
        <v>664</v>
      </c>
      <c r="B242" t="str">
        <f t="shared" si="7"/>
        <v>Triangle_sculpture</v>
      </c>
      <c r="E242" s="4">
        <v>1</v>
      </c>
      <c r="F242" t="s">
        <v>686</v>
      </c>
      <c r="H242">
        <v>126</v>
      </c>
      <c r="I242" t="s">
        <v>664</v>
      </c>
      <c r="J242" s="11" t="s">
        <v>165</v>
      </c>
      <c r="K242">
        <v>100</v>
      </c>
      <c r="L242" t="str">
        <f t="shared" si="8"/>
        <v>resources/imagesThorax_Triangle_sculpture_100,html</v>
      </c>
      <c r="P242" t="str">
        <f t="shared" si="14"/>
        <v>Thorax_Triangle_sculpture_100</v>
      </c>
      <c r="S242" t="str">
        <f t="shared" si="10"/>
        <v>resources/imagesThorax_Triangle_sculpture_100,html</v>
      </c>
    </row>
    <row r="243" spans="1:19" x14ac:dyDescent="0.2">
      <c r="A243" t="s">
        <v>664</v>
      </c>
      <c r="B243" t="str">
        <f t="shared" si="7"/>
        <v>Triangle_sculpture</v>
      </c>
      <c r="E243" s="4">
        <v>1</v>
      </c>
      <c r="F243" t="s">
        <v>686</v>
      </c>
      <c r="H243">
        <v>127</v>
      </c>
      <c r="I243" t="s">
        <v>664</v>
      </c>
      <c r="J243" s="11" t="s">
        <v>165</v>
      </c>
      <c r="K243">
        <v>100</v>
      </c>
      <c r="L243" t="str">
        <f t="shared" si="8"/>
        <v>resources/imagesThorax_Triangle_sculpture_100,html</v>
      </c>
      <c r="P243" t="str">
        <f t="shared" si="14"/>
        <v>Thorax_Triangle_sculpture_100</v>
      </c>
      <c r="S243" t="str">
        <f t="shared" si="10"/>
        <v>resources/imagesThorax_Triangle_sculpture_100,html</v>
      </c>
    </row>
    <row r="244" spans="1:19" x14ac:dyDescent="0.2">
      <c r="A244" t="s">
        <v>664</v>
      </c>
      <c r="B244" t="str">
        <f t="shared" si="7"/>
        <v>Triangle_outside</v>
      </c>
      <c r="E244" s="4">
        <v>1</v>
      </c>
      <c r="F244" t="s">
        <v>686</v>
      </c>
      <c r="H244">
        <v>128</v>
      </c>
      <c r="I244" t="s">
        <v>664</v>
      </c>
      <c r="J244" s="11" t="s">
        <v>166</v>
      </c>
      <c r="K244" t="s">
        <v>333</v>
      </c>
      <c r="L244" t="str">
        <f t="shared" si="8"/>
        <v>resources/imagesThorax_Triangle_outside_coarse,html</v>
      </c>
      <c r="P244" t="str">
        <f t="shared" si="14"/>
        <v>Thorax_Triangle_outside_coarse</v>
      </c>
      <c r="S244" t="str">
        <f t="shared" si="10"/>
        <v>resources/imagesThorax_Triangle_outside_coarse,html</v>
      </c>
    </row>
    <row r="245" spans="1:19" x14ac:dyDescent="0.2">
      <c r="A245" t="s">
        <v>664</v>
      </c>
      <c r="B245" t="str">
        <f t="shared" si="7"/>
        <v>Triangle_outside</v>
      </c>
      <c r="E245" s="4">
        <v>1</v>
      </c>
      <c r="F245" t="s">
        <v>686</v>
      </c>
      <c r="H245">
        <v>129</v>
      </c>
      <c r="I245" t="s">
        <v>664</v>
      </c>
      <c r="J245" s="11" t="s">
        <v>166</v>
      </c>
      <c r="K245" t="s">
        <v>333</v>
      </c>
      <c r="L245" t="str">
        <f t="shared" si="8"/>
        <v>resources/imagesThorax_Triangle_outside_coarse_2,html</v>
      </c>
      <c r="P245" t="s">
        <v>670</v>
      </c>
      <c r="S245" t="str">
        <f t="shared" si="10"/>
        <v>resources/imagesThorax_Triangle_outside_coarse_2,html</v>
      </c>
    </row>
    <row r="246" spans="1:19" x14ac:dyDescent="0.2">
      <c r="A246" t="s">
        <v>685</v>
      </c>
      <c r="B246" t="str">
        <f t="shared" ref="B246:B258" si="15">IF(I246="###", CONCATENATE("##", J246), J246)</f>
        <v>##Triangle_outside</v>
      </c>
      <c r="E246" s="4">
        <v>1</v>
      </c>
      <c r="F246" t="s">
        <v>686</v>
      </c>
      <c r="H246" s="32">
        <v>130</v>
      </c>
      <c r="I246" s="32" t="s">
        <v>685</v>
      </c>
      <c r="J246" s="35" t="s">
        <v>166</v>
      </c>
      <c r="K246" s="32" t="s">
        <v>209</v>
      </c>
      <c r="L246" t="str">
        <f t="shared" ref="L246:L259" si="16">IF(I246="###",CONCATENATE("#",S246,),S246)</f>
        <v>#resources/imagesThorax_Triangle_outside_dull,html</v>
      </c>
      <c r="M246" s="32"/>
      <c r="N246" s="32"/>
      <c r="P246" s="32" t="str">
        <f t="shared" ref="P246:P255" si="17">CONCATENATE("Thorax_",J246,"_",K246)</f>
        <v>Thorax_Triangle_outside_dull</v>
      </c>
      <c r="S246" t="str">
        <f t="shared" ref="S246:S259" si="18">CONCATENATE("resources/images",P246,",html")</f>
        <v>resources/imagesThorax_Triangle_outside_dull,html</v>
      </c>
    </row>
    <row r="247" spans="1:19" x14ac:dyDescent="0.2">
      <c r="A247" t="s">
        <v>685</v>
      </c>
      <c r="B247" t="str">
        <f t="shared" si="15"/>
        <v>##Triangle_outside</v>
      </c>
      <c r="E247" s="4">
        <v>1</v>
      </c>
      <c r="F247" t="s">
        <v>686</v>
      </c>
      <c r="H247" s="32">
        <v>131</v>
      </c>
      <c r="I247" s="32" t="s">
        <v>685</v>
      </c>
      <c r="J247" s="35" t="s">
        <v>166</v>
      </c>
      <c r="K247" s="32" t="s">
        <v>428</v>
      </c>
      <c r="L247" t="str">
        <f t="shared" si="16"/>
        <v>#resources/imagesThorax_Triangle_outside_fine,html</v>
      </c>
      <c r="M247" s="32"/>
      <c r="N247" s="32"/>
      <c r="P247" s="32" t="str">
        <f t="shared" si="17"/>
        <v>Thorax_Triangle_outside_fine</v>
      </c>
      <c r="S247" t="str">
        <f t="shared" si="18"/>
        <v>resources/imagesThorax_Triangle_outside_fine,html</v>
      </c>
    </row>
    <row r="248" spans="1:19" x14ac:dyDescent="0.2">
      <c r="A248" t="s">
        <v>664</v>
      </c>
      <c r="B248" t="str">
        <f t="shared" si="15"/>
        <v>Triangle_outside</v>
      </c>
      <c r="E248" s="4">
        <v>1</v>
      </c>
      <c r="F248" t="s">
        <v>686</v>
      </c>
      <c r="H248">
        <v>132</v>
      </c>
      <c r="I248" t="s">
        <v>664</v>
      </c>
      <c r="J248" s="11" t="s">
        <v>166</v>
      </c>
      <c r="K248" t="s">
        <v>429</v>
      </c>
      <c r="L248" t="str">
        <f t="shared" si="16"/>
        <v>resources/imagesThorax_Triangle_outside_areolate,html</v>
      </c>
      <c r="P248" t="str">
        <f t="shared" si="17"/>
        <v>Thorax_Triangle_outside_areolate</v>
      </c>
      <c r="S248" t="str">
        <f t="shared" si="18"/>
        <v>resources/imagesThorax_Triangle_outside_areolate,html</v>
      </c>
    </row>
    <row r="249" spans="1:19" x14ac:dyDescent="0.2">
      <c r="A249" t="s">
        <v>685</v>
      </c>
      <c r="B249" t="str">
        <f t="shared" si="15"/>
        <v>##Scutum_pits</v>
      </c>
      <c r="E249" s="4">
        <v>1</v>
      </c>
      <c r="F249" t="s">
        <v>686</v>
      </c>
      <c r="H249" s="32">
        <v>133</v>
      </c>
      <c r="I249" s="32" t="s">
        <v>685</v>
      </c>
      <c r="J249" s="35" t="s">
        <v>167</v>
      </c>
      <c r="K249" s="32" t="s">
        <v>58</v>
      </c>
      <c r="L249" t="str">
        <f t="shared" si="16"/>
        <v>#resources/imagesThorax_Scutum_pits_absent,html</v>
      </c>
      <c r="M249" s="32"/>
      <c r="N249" s="32"/>
      <c r="P249" s="32" t="str">
        <f t="shared" si="17"/>
        <v>Thorax_Scutum_pits_absent</v>
      </c>
      <c r="S249" t="str">
        <f t="shared" si="18"/>
        <v>resources/imagesThorax_Scutum_pits_absent,html</v>
      </c>
    </row>
    <row r="250" spans="1:19" x14ac:dyDescent="0.2">
      <c r="A250" t="s">
        <v>685</v>
      </c>
      <c r="B250" t="str">
        <f t="shared" si="15"/>
        <v>##Scutum_pits</v>
      </c>
      <c r="E250" s="4">
        <v>1</v>
      </c>
      <c r="F250" t="s">
        <v>686</v>
      </c>
      <c r="H250" s="32">
        <v>134</v>
      </c>
      <c r="I250" s="32" t="s">
        <v>685</v>
      </c>
      <c r="J250" s="35" t="s">
        <v>167</v>
      </c>
      <c r="K250" s="32" t="s">
        <v>299</v>
      </c>
      <c r="L250" t="str">
        <f t="shared" si="16"/>
        <v>#resources/imagesThorax_Scutum_pits_less,html</v>
      </c>
      <c r="M250" s="32"/>
      <c r="N250" s="32"/>
      <c r="P250" s="32" t="str">
        <f t="shared" si="17"/>
        <v>Thorax_Scutum_pits_less</v>
      </c>
      <c r="S250" t="str">
        <f t="shared" si="18"/>
        <v>resources/imagesThorax_Scutum_pits_less,html</v>
      </c>
    </row>
    <row r="251" spans="1:19" x14ac:dyDescent="0.2">
      <c r="A251" t="s">
        <v>664</v>
      </c>
      <c r="B251" t="str">
        <f t="shared" si="15"/>
        <v>Scutum_pits</v>
      </c>
      <c r="E251" s="4">
        <v>1</v>
      </c>
      <c r="F251" t="s">
        <v>686</v>
      </c>
      <c r="H251">
        <v>135</v>
      </c>
      <c r="I251" t="s">
        <v>664</v>
      </c>
      <c r="J251" s="11" t="s">
        <v>167</v>
      </c>
      <c r="K251" s="24" t="s">
        <v>326</v>
      </c>
      <c r="L251" t="str">
        <f t="shared" si="16"/>
        <v>resources/imagesThorax_Scutum_pits_1-3,html</v>
      </c>
      <c r="P251" t="str">
        <f t="shared" si="17"/>
        <v>Thorax_Scutum_pits_1-3</v>
      </c>
      <c r="S251" t="str">
        <f t="shared" si="18"/>
        <v>resources/imagesThorax_Scutum_pits_1-3,html</v>
      </c>
    </row>
    <row r="252" spans="1:19" x14ac:dyDescent="0.2">
      <c r="A252" t="s">
        <v>664</v>
      </c>
      <c r="B252" t="str">
        <f t="shared" si="15"/>
        <v>Scutum_pits</v>
      </c>
      <c r="E252" s="4">
        <v>1</v>
      </c>
      <c r="F252" t="s">
        <v>686</v>
      </c>
      <c r="H252">
        <v>136</v>
      </c>
      <c r="I252" t="s">
        <v>664</v>
      </c>
      <c r="J252" s="11" t="s">
        <v>167</v>
      </c>
      <c r="K252" s="24" t="s">
        <v>406</v>
      </c>
      <c r="L252" t="str">
        <f t="shared" si="16"/>
        <v>resources/imagesThorax_Scutum_pits_3+,html</v>
      </c>
      <c r="P252" t="str">
        <f t="shared" si="17"/>
        <v>Thorax_Scutum_pits_3+</v>
      </c>
      <c r="S252" t="str">
        <f t="shared" si="18"/>
        <v>resources/imagesThorax_Scutum_pits_3+,html</v>
      </c>
    </row>
    <row r="253" spans="1:19" x14ac:dyDescent="0.2">
      <c r="A253" t="s">
        <v>664</v>
      </c>
      <c r="B253" t="str">
        <f t="shared" si="15"/>
        <v>Scutum_texture</v>
      </c>
      <c r="E253" s="4">
        <v>1</v>
      </c>
      <c r="F253" t="s">
        <v>686</v>
      </c>
      <c r="H253">
        <v>137</v>
      </c>
      <c r="I253" t="s">
        <v>664</v>
      </c>
      <c r="J253" s="11" t="s">
        <v>168</v>
      </c>
      <c r="K253" t="s">
        <v>209</v>
      </c>
      <c r="L253" t="str">
        <f t="shared" si="16"/>
        <v>resources/imagesThorax_Scutum_texture_dull,html</v>
      </c>
      <c r="P253" t="str">
        <f t="shared" si="17"/>
        <v>Thorax_Scutum_texture_dull</v>
      </c>
      <c r="S253" t="str">
        <f t="shared" si="18"/>
        <v>resources/imagesThorax_Scutum_texture_dull,html</v>
      </c>
    </row>
    <row r="254" spans="1:19" x14ac:dyDescent="0.2">
      <c r="A254" t="s">
        <v>685</v>
      </c>
      <c r="B254" t="str">
        <f t="shared" si="15"/>
        <v>##Scutum_texture</v>
      </c>
      <c r="E254" s="4">
        <v>1</v>
      </c>
      <c r="F254" t="s">
        <v>686</v>
      </c>
      <c r="H254" s="32">
        <v>138</v>
      </c>
      <c r="I254" s="32" t="s">
        <v>685</v>
      </c>
      <c r="J254" s="35" t="s">
        <v>168</v>
      </c>
      <c r="K254" s="32" t="s">
        <v>414</v>
      </c>
      <c r="L254" t="str">
        <f t="shared" si="16"/>
        <v>#resources/imagesThorax_Scutum_texture_shiny,html</v>
      </c>
      <c r="M254" s="32"/>
      <c r="N254" s="32"/>
      <c r="P254" s="32" t="str">
        <f t="shared" si="17"/>
        <v>Thorax_Scutum_texture_shiny</v>
      </c>
      <c r="S254" t="str">
        <f t="shared" si="18"/>
        <v>resources/imagesThorax_Scutum_texture_shiny,html</v>
      </c>
    </row>
    <row r="255" spans="1:19" x14ac:dyDescent="0.2">
      <c r="A255" t="s">
        <v>685</v>
      </c>
      <c r="B255" t="str">
        <f t="shared" si="15"/>
        <v>##Scutum_texture</v>
      </c>
      <c r="E255" s="4">
        <v>1</v>
      </c>
      <c r="F255" t="s">
        <v>686</v>
      </c>
      <c r="H255" s="32">
        <v>139</v>
      </c>
      <c r="I255" s="32" t="s">
        <v>685</v>
      </c>
      <c r="J255" s="35" t="s">
        <v>168</v>
      </c>
      <c r="K255" s="32" t="s">
        <v>430</v>
      </c>
      <c r="L255" t="str">
        <f t="shared" si="16"/>
        <v>#resources/imagesThorax_Scutum_texture_somewhat,html</v>
      </c>
      <c r="M255" s="32"/>
      <c r="N255" s="32"/>
      <c r="P255" s="32" t="str">
        <f t="shared" si="17"/>
        <v>Thorax_Scutum_texture_somewhat</v>
      </c>
      <c r="S255" t="str">
        <f t="shared" si="18"/>
        <v>resources/imagesThorax_Scutum_texture_somewhat,html</v>
      </c>
    </row>
    <row r="256" spans="1:19" x14ac:dyDescent="0.2">
      <c r="A256" t="s">
        <v>664</v>
      </c>
      <c r="B256" t="str">
        <f t="shared" si="15"/>
        <v>SMC</v>
      </c>
      <c r="E256" s="4">
        <v>1</v>
      </c>
      <c r="F256" t="s">
        <v>686</v>
      </c>
      <c r="H256">
        <v>140</v>
      </c>
      <c r="I256" t="s">
        <v>664</v>
      </c>
      <c r="J256" s="19" t="s">
        <v>169</v>
      </c>
      <c r="K256" s="1">
        <v>2</v>
      </c>
      <c r="L256" t="str">
        <f t="shared" si="16"/>
        <v>resources/imagesWing_SMC_2,html</v>
      </c>
      <c r="P256" t="str">
        <f>CONCATENATE("Wing_",J256,"_",K256)</f>
        <v>Wing_SMC_2</v>
      </c>
      <c r="S256" t="str">
        <f t="shared" si="18"/>
        <v>resources/imagesWing_SMC_2,html</v>
      </c>
    </row>
    <row r="257" spans="1:19" x14ac:dyDescent="0.2">
      <c r="A257" t="s">
        <v>664</v>
      </c>
      <c r="B257" t="str">
        <f t="shared" si="15"/>
        <v>SMC</v>
      </c>
      <c r="E257" s="4">
        <v>1</v>
      </c>
      <c r="F257" t="s">
        <v>686</v>
      </c>
      <c r="H257">
        <v>141</v>
      </c>
      <c r="I257" t="s">
        <v>664</v>
      </c>
      <c r="J257" s="19" t="s">
        <v>169</v>
      </c>
      <c r="K257" s="1">
        <v>3</v>
      </c>
      <c r="L257" t="str">
        <f t="shared" si="16"/>
        <v>resources/imagesWing_SMC_3,html</v>
      </c>
      <c r="P257" t="str">
        <f>CONCATENATE("Wing_",J257,"_",K257)</f>
        <v>Wing_SMC_3</v>
      </c>
      <c r="S257" t="str">
        <f t="shared" si="18"/>
        <v>resources/imagesWing_SMC_3,html</v>
      </c>
    </row>
    <row r="258" spans="1:19" x14ac:dyDescent="0.2">
      <c r="A258" t="s">
        <v>664</v>
      </c>
      <c r="B258" t="str">
        <f t="shared" si="15"/>
        <v>R</v>
      </c>
      <c r="E258" s="4">
        <v>1</v>
      </c>
      <c r="F258" t="s">
        <v>686</v>
      </c>
      <c r="H258">
        <v>142</v>
      </c>
      <c r="I258" t="s">
        <v>664</v>
      </c>
      <c r="J258" s="19" t="s">
        <v>170</v>
      </c>
      <c r="K258" s="1" t="s">
        <v>225</v>
      </c>
      <c r="L258" t="str">
        <f t="shared" si="16"/>
        <v>resources/imagesWing_R_long,html</v>
      </c>
      <c r="P258" t="str">
        <f>CONCATENATE("Wing_",J258,"_",K258)</f>
        <v>Wing_R_long</v>
      </c>
      <c r="S258" t="str">
        <f t="shared" si="18"/>
        <v>resources/imagesWing_R_long,html</v>
      </c>
    </row>
    <row r="259" spans="1:19" x14ac:dyDescent="0.2">
      <c r="A259" t="s">
        <v>664</v>
      </c>
      <c r="H259">
        <v>143</v>
      </c>
      <c r="I259" t="s">
        <v>664</v>
      </c>
      <c r="J259" s="19" t="s">
        <v>170</v>
      </c>
      <c r="K259" s="1" t="s">
        <v>207</v>
      </c>
      <c r="L259" t="str">
        <f t="shared" si="16"/>
        <v>resources/imagesWing_R_short,html</v>
      </c>
      <c r="P259" t="str">
        <f>CONCATENATE("Wing_",J259,"_",K259)</f>
        <v>Wing_R_short</v>
      </c>
      <c r="S259" t="str">
        <f t="shared" si="18"/>
        <v>resources/imagesWing_R_short,html</v>
      </c>
    </row>
  </sheetData>
  <sortState xmlns:xlrd2="http://schemas.microsoft.com/office/spreadsheetml/2017/richdata2" ref="H117:N259">
    <sortCondition ref="H117:H259"/>
  </sortState>
  <phoneticPr fontId="25"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K47"/>
  <sheetViews>
    <sheetView zoomScaleNormal="85" workbookViewId="0">
      <pane ySplit="1" topLeftCell="A2" activePane="bottomLeft" state="frozen"/>
      <selection pane="bottomLeft" activeCell="D3" sqref="D3"/>
    </sheetView>
  </sheetViews>
  <sheetFormatPr baseColWidth="10" defaultColWidth="8.83203125" defaultRowHeight="15" x14ac:dyDescent="0.2"/>
  <cols>
    <col min="1" max="1" width="11.5" customWidth="1"/>
    <col min="2" max="2" width="15" customWidth="1"/>
    <col min="3" max="3" width="18.5" customWidth="1"/>
    <col min="4" max="5" width="17.5" customWidth="1"/>
    <col min="6" max="6" width="7.83203125" customWidth="1"/>
    <col min="7" max="7" width="14.33203125" customWidth="1"/>
    <col min="8" max="8" width="11.83203125" customWidth="1"/>
    <col min="9" max="10" width="7.5" customWidth="1"/>
    <col min="11" max="11" width="9.5" customWidth="1"/>
  </cols>
  <sheetData>
    <row r="1" spans="1:11" s="1" customFormat="1" x14ac:dyDescent="0.2">
      <c r="A1" s="1" t="s">
        <v>8</v>
      </c>
      <c r="B1" s="1" t="s">
        <v>1</v>
      </c>
      <c r="C1" s="1" t="s">
        <v>2</v>
      </c>
      <c r="D1" s="1" t="s">
        <v>3</v>
      </c>
      <c r="E1" s="1" t="s">
        <v>43</v>
      </c>
      <c r="F1" s="1" t="s">
        <v>4</v>
      </c>
      <c r="G1" s="1" t="s">
        <v>7</v>
      </c>
      <c r="H1" s="1" t="s">
        <v>5</v>
      </c>
      <c r="I1" s="1" t="s">
        <v>16</v>
      </c>
      <c r="J1" s="1" t="s">
        <v>6</v>
      </c>
      <c r="K1" s="1" t="s">
        <v>47</v>
      </c>
    </row>
    <row r="2" spans="1:11" s="1" customFormat="1" x14ac:dyDescent="0.2">
      <c r="B2" s="1" t="s">
        <v>65</v>
      </c>
      <c r="C2" s="1" t="s">
        <v>65</v>
      </c>
      <c r="D2"/>
      <c r="E2"/>
      <c r="F2" t="s">
        <v>0</v>
      </c>
      <c r="G2" t="s">
        <v>113</v>
      </c>
      <c r="H2" t="s">
        <v>114</v>
      </c>
      <c r="I2" t="s">
        <v>115</v>
      </c>
      <c r="J2">
        <v>4</v>
      </c>
      <c r="K2">
        <v>2</v>
      </c>
    </row>
    <row r="3" spans="1:11" x14ac:dyDescent="0.2">
      <c r="A3" t="s">
        <v>103</v>
      </c>
      <c r="B3" s="14" t="s">
        <v>136</v>
      </c>
      <c r="C3" t="s">
        <v>80</v>
      </c>
      <c r="D3" t="s">
        <v>81</v>
      </c>
      <c r="F3" t="s">
        <v>0</v>
      </c>
      <c r="G3" t="s">
        <v>41</v>
      </c>
      <c r="H3" t="s">
        <v>39</v>
      </c>
      <c r="J3">
        <v>4</v>
      </c>
    </row>
    <row r="4" spans="1:11" x14ac:dyDescent="0.2">
      <c r="A4" t="s">
        <v>103</v>
      </c>
      <c r="B4" s="14" t="s">
        <v>171</v>
      </c>
      <c r="C4" t="s">
        <v>82</v>
      </c>
      <c r="D4" t="s">
        <v>91</v>
      </c>
      <c r="F4" t="s">
        <v>0</v>
      </c>
      <c r="G4" t="s">
        <v>41</v>
      </c>
      <c r="H4" t="s">
        <v>39</v>
      </c>
      <c r="J4">
        <v>4</v>
      </c>
    </row>
    <row r="5" spans="1:11" x14ac:dyDescent="0.2">
      <c r="A5" t="s">
        <v>103</v>
      </c>
      <c r="B5" s="13" t="s">
        <v>135</v>
      </c>
      <c r="C5" t="s">
        <v>92</v>
      </c>
      <c r="D5" t="s">
        <v>83</v>
      </c>
      <c r="F5" t="s">
        <v>0</v>
      </c>
      <c r="G5" t="s">
        <v>41</v>
      </c>
      <c r="H5" t="s">
        <v>39</v>
      </c>
      <c r="J5">
        <v>4</v>
      </c>
    </row>
    <row r="6" spans="1:11" x14ac:dyDescent="0.2">
      <c r="A6" t="s">
        <v>103</v>
      </c>
      <c r="B6" s="14" t="s">
        <v>137</v>
      </c>
      <c r="C6" t="s">
        <v>93</v>
      </c>
      <c r="D6" t="s">
        <v>613</v>
      </c>
      <c r="F6" t="s">
        <v>0</v>
      </c>
      <c r="G6" t="s">
        <v>41</v>
      </c>
      <c r="H6" t="s">
        <v>39</v>
      </c>
      <c r="J6">
        <v>8</v>
      </c>
    </row>
    <row r="7" spans="1:11" x14ac:dyDescent="0.2">
      <c r="A7" t="s">
        <v>103</v>
      </c>
      <c r="B7" s="14" t="s">
        <v>138</v>
      </c>
      <c r="C7" t="s">
        <v>374</v>
      </c>
      <c r="D7" t="s">
        <v>84</v>
      </c>
      <c r="F7" t="s">
        <v>0</v>
      </c>
      <c r="G7" t="s">
        <v>41</v>
      </c>
      <c r="H7" t="s">
        <v>39</v>
      </c>
      <c r="J7">
        <v>6</v>
      </c>
    </row>
    <row r="8" spans="1:11" x14ac:dyDescent="0.2">
      <c r="A8" t="s">
        <v>103</v>
      </c>
      <c r="B8" s="14" t="s">
        <v>176</v>
      </c>
      <c r="C8" t="s">
        <v>375</v>
      </c>
      <c r="F8" t="s">
        <v>0</v>
      </c>
      <c r="G8" t="s">
        <v>41</v>
      </c>
      <c r="H8" t="s">
        <v>39</v>
      </c>
      <c r="J8">
        <v>6</v>
      </c>
    </row>
    <row r="9" spans="1:11" x14ac:dyDescent="0.2">
      <c r="A9" t="s">
        <v>59</v>
      </c>
      <c r="B9" s="9" t="s">
        <v>139</v>
      </c>
      <c r="C9" t="s">
        <v>94</v>
      </c>
      <c r="D9" t="s">
        <v>87</v>
      </c>
      <c r="F9" t="s">
        <v>0</v>
      </c>
      <c r="G9" t="s">
        <v>41</v>
      </c>
      <c r="H9" t="s">
        <v>39</v>
      </c>
      <c r="J9">
        <v>4</v>
      </c>
    </row>
    <row r="10" spans="1:11" x14ac:dyDescent="0.2">
      <c r="A10" t="s">
        <v>59</v>
      </c>
      <c r="B10" s="9" t="s">
        <v>140</v>
      </c>
      <c r="C10" t="s">
        <v>403</v>
      </c>
      <c r="D10" t="s">
        <v>617</v>
      </c>
      <c r="F10" t="s">
        <v>0</v>
      </c>
      <c r="G10" t="s">
        <v>41</v>
      </c>
      <c r="H10" t="s">
        <v>39</v>
      </c>
      <c r="J10">
        <v>3</v>
      </c>
    </row>
    <row r="11" spans="1:11" x14ac:dyDescent="0.2">
      <c r="A11" t="s">
        <v>59</v>
      </c>
      <c r="B11" s="11" t="s">
        <v>141</v>
      </c>
      <c r="C11" t="s">
        <v>95</v>
      </c>
      <c r="D11" t="s">
        <v>86</v>
      </c>
      <c r="F11" t="s">
        <v>0</v>
      </c>
      <c r="G11" t="s">
        <v>41</v>
      </c>
      <c r="H11" t="s">
        <v>39</v>
      </c>
      <c r="J11">
        <v>6</v>
      </c>
    </row>
    <row r="12" spans="1:11" x14ac:dyDescent="0.2">
      <c r="A12" t="s">
        <v>59</v>
      </c>
      <c r="B12" s="11" t="s">
        <v>142</v>
      </c>
      <c r="C12" t="s">
        <v>96</v>
      </c>
      <c r="D12" t="s">
        <v>85</v>
      </c>
      <c r="F12" t="s">
        <v>0</v>
      </c>
      <c r="G12" t="s">
        <v>41</v>
      </c>
      <c r="H12" t="s">
        <v>39</v>
      </c>
      <c r="J12">
        <v>4</v>
      </c>
    </row>
    <row r="13" spans="1:11" x14ac:dyDescent="0.2">
      <c r="A13" t="s">
        <v>59</v>
      </c>
      <c r="B13" s="11" t="s">
        <v>143</v>
      </c>
      <c r="C13" t="s">
        <v>376</v>
      </c>
      <c r="D13" t="s">
        <v>614</v>
      </c>
      <c r="F13" t="s">
        <v>0</v>
      </c>
      <c r="G13" t="s">
        <v>41</v>
      </c>
      <c r="H13" t="s">
        <v>39</v>
      </c>
      <c r="J13">
        <v>6</v>
      </c>
    </row>
    <row r="14" spans="1:11" x14ac:dyDescent="0.2">
      <c r="A14" t="s">
        <v>59</v>
      </c>
      <c r="B14" s="11" t="s">
        <v>144</v>
      </c>
      <c r="C14" t="s">
        <v>377</v>
      </c>
      <c r="D14" t="s">
        <v>615</v>
      </c>
      <c r="F14" t="s">
        <v>0</v>
      </c>
      <c r="G14" t="s">
        <v>41</v>
      </c>
      <c r="H14" t="s">
        <v>39</v>
      </c>
      <c r="J14">
        <v>4</v>
      </c>
    </row>
    <row r="15" spans="1:11" x14ac:dyDescent="0.2">
      <c r="A15" t="s">
        <v>59</v>
      </c>
      <c r="B15" s="11" t="s">
        <v>145</v>
      </c>
      <c r="C15" t="s">
        <v>378</v>
      </c>
      <c r="D15" t="s">
        <v>618</v>
      </c>
      <c r="F15" t="s">
        <v>0</v>
      </c>
      <c r="G15" t="s">
        <v>41</v>
      </c>
      <c r="H15" t="s">
        <v>39</v>
      </c>
      <c r="J15">
        <v>4</v>
      </c>
    </row>
    <row r="16" spans="1:11" x14ac:dyDescent="0.2">
      <c r="A16" t="s">
        <v>59</v>
      </c>
      <c r="B16" s="11" t="s">
        <v>185</v>
      </c>
      <c r="C16" t="s">
        <v>98</v>
      </c>
      <c r="D16" t="s">
        <v>89</v>
      </c>
      <c r="F16" t="s">
        <v>0</v>
      </c>
      <c r="G16" t="s">
        <v>41</v>
      </c>
      <c r="H16" t="s">
        <v>39</v>
      </c>
      <c r="J16">
        <v>5</v>
      </c>
    </row>
    <row r="17" spans="1:10" x14ac:dyDescent="0.2">
      <c r="A17" t="s">
        <v>59</v>
      </c>
      <c r="B17" s="11" t="s">
        <v>146</v>
      </c>
      <c r="C17" t="s">
        <v>379</v>
      </c>
      <c r="D17" t="s">
        <v>618</v>
      </c>
      <c r="F17" t="s">
        <v>0</v>
      </c>
      <c r="G17" t="s">
        <v>41</v>
      </c>
      <c r="H17" t="s">
        <v>39</v>
      </c>
      <c r="J17">
        <v>6</v>
      </c>
    </row>
    <row r="18" spans="1:10" x14ac:dyDescent="0.2">
      <c r="A18" t="s">
        <v>59</v>
      </c>
      <c r="B18" s="11" t="s">
        <v>147</v>
      </c>
      <c r="C18" t="s">
        <v>380</v>
      </c>
      <c r="D18" t="s">
        <v>625</v>
      </c>
      <c r="F18" t="s">
        <v>0</v>
      </c>
      <c r="G18" t="s">
        <v>41</v>
      </c>
      <c r="H18" t="s">
        <v>39</v>
      </c>
      <c r="J18">
        <v>3</v>
      </c>
    </row>
    <row r="19" spans="1:10" x14ac:dyDescent="0.2">
      <c r="A19" t="s">
        <v>59</v>
      </c>
      <c r="B19" s="11" t="s">
        <v>148</v>
      </c>
      <c r="C19" t="s">
        <v>381</v>
      </c>
      <c r="F19" t="s">
        <v>0</v>
      </c>
      <c r="G19" t="s">
        <v>41</v>
      </c>
      <c r="H19" t="s">
        <v>39</v>
      </c>
      <c r="J19">
        <v>4</v>
      </c>
    </row>
    <row r="20" spans="1:10" x14ac:dyDescent="0.2">
      <c r="A20" t="s">
        <v>59</v>
      </c>
      <c r="B20" s="11" t="s">
        <v>149</v>
      </c>
      <c r="C20" t="s">
        <v>432</v>
      </c>
      <c r="D20" t="s">
        <v>628</v>
      </c>
      <c r="F20" t="s">
        <v>0</v>
      </c>
      <c r="G20" t="s">
        <v>41</v>
      </c>
      <c r="H20" t="s">
        <v>39</v>
      </c>
      <c r="J20">
        <v>4</v>
      </c>
    </row>
    <row r="21" spans="1:10" x14ac:dyDescent="0.2">
      <c r="A21" t="s">
        <v>59</v>
      </c>
      <c r="B21" s="11" t="s">
        <v>150</v>
      </c>
      <c r="C21" t="s">
        <v>382</v>
      </c>
      <c r="D21" t="s">
        <v>88</v>
      </c>
      <c r="F21" t="s">
        <v>0</v>
      </c>
      <c r="G21" t="s">
        <v>41</v>
      </c>
      <c r="H21" t="s">
        <v>39</v>
      </c>
      <c r="J21">
        <v>5</v>
      </c>
    </row>
    <row r="22" spans="1:10" x14ac:dyDescent="0.2">
      <c r="A22" t="s">
        <v>59</v>
      </c>
      <c r="B22" s="11" t="s">
        <v>74</v>
      </c>
      <c r="C22" t="s">
        <v>97</v>
      </c>
      <c r="D22" t="s">
        <v>671</v>
      </c>
      <c r="F22" t="s">
        <v>0</v>
      </c>
      <c r="G22" t="s">
        <v>41</v>
      </c>
      <c r="H22" t="s">
        <v>39</v>
      </c>
      <c r="J22">
        <v>6</v>
      </c>
    </row>
    <row r="23" spans="1:10" x14ac:dyDescent="0.2">
      <c r="A23" t="s">
        <v>59</v>
      </c>
      <c r="B23" s="11" t="s">
        <v>151</v>
      </c>
      <c r="C23" t="s">
        <v>383</v>
      </c>
      <c r="D23" t="s">
        <v>632</v>
      </c>
      <c r="F23" t="s">
        <v>0</v>
      </c>
      <c r="G23" t="s">
        <v>41</v>
      </c>
      <c r="H23" t="s">
        <v>39</v>
      </c>
      <c r="J23">
        <v>4</v>
      </c>
    </row>
    <row r="24" spans="1:10" x14ac:dyDescent="0.2">
      <c r="A24" t="s">
        <v>59</v>
      </c>
      <c r="B24" s="11" t="s">
        <v>152</v>
      </c>
      <c r="C24" t="s">
        <v>384</v>
      </c>
      <c r="F24" t="s">
        <v>0</v>
      </c>
      <c r="G24" t="s">
        <v>41</v>
      </c>
      <c r="H24" t="s">
        <v>39</v>
      </c>
      <c r="J24">
        <v>4</v>
      </c>
    </row>
    <row r="25" spans="1:10" x14ac:dyDescent="0.2">
      <c r="A25" t="s">
        <v>59</v>
      </c>
      <c r="B25" s="11" t="s">
        <v>153</v>
      </c>
      <c r="C25" t="s">
        <v>385</v>
      </c>
      <c r="D25" t="s">
        <v>434</v>
      </c>
      <c r="F25" t="s">
        <v>0</v>
      </c>
      <c r="G25" t="s">
        <v>41</v>
      </c>
      <c r="H25" t="s">
        <v>39</v>
      </c>
      <c r="J25">
        <v>4</v>
      </c>
    </row>
    <row r="26" spans="1:10" x14ac:dyDescent="0.2">
      <c r="A26" t="s">
        <v>59</v>
      </c>
      <c r="B26" s="11" t="s">
        <v>69</v>
      </c>
      <c r="C26" t="s">
        <v>386</v>
      </c>
      <c r="D26" t="s">
        <v>435</v>
      </c>
      <c r="F26" t="s">
        <v>0</v>
      </c>
      <c r="G26" t="s">
        <v>41</v>
      </c>
      <c r="H26" t="s">
        <v>39</v>
      </c>
      <c r="J26">
        <v>4</v>
      </c>
    </row>
    <row r="27" spans="1:10" x14ac:dyDescent="0.2">
      <c r="A27" t="s">
        <v>387</v>
      </c>
      <c r="B27" s="17" t="s">
        <v>154</v>
      </c>
      <c r="C27" t="s">
        <v>389</v>
      </c>
      <c r="D27" t="s">
        <v>436</v>
      </c>
      <c r="F27" t="s">
        <v>0</v>
      </c>
      <c r="G27" t="s">
        <v>41</v>
      </c>
      <c r="H27" t="s">
        <v>39</v>
      </c>
      <c r="J27">
        <v>3</v>
      </c>
    </row>
    <row r="28" spans="1:10" x14ac:dyDescent="0.2">
      <c r="A28" t="s">
        <v>387</v>
      </c>
      <c r="B28" s="17" t="s">
        <v>155</v>
      </c>
      <c r="C28" t="s">
        <v>390</v>
      </c>
      <c r="D28" t="s">
        <v>633</v>
      </c>
      <c r="F28" t="s">
        <v>0</v>
      </c>
      <c r="G28" t="s">
        <v>41</v>
      </c>
      <c r="H28" t="s">
        <v>39</v>
      </c>
      <c r="J28">
        <v>3</v>
      </c>
    </row>
    <row r="29" spans="1:10" x14ac:dyDescent="0.2">
      <c r="A29" t="s">
        <v>387</v>
      </c>
      <c r="B29" s="17" t="s">
        <v>156</v>
      </c>
      <c r="C29" t="s">
        <v>437</v>
      </c>
      <c r="F29" t="s">
        <v>0</v>
      </c>
      <c r="G29" t="s">
        <v>41</v>
      </c>
      <c r="H29" t="s">
        <v>39</v>
      </c>
      <c r="J29">
        <v>3</v>
      </c>
    </row>
    <row r="30" spans="1:10" x14ac:dyDescent="0.2">
      <c r="A30" t="s">
        <v>387</v>
      </c>
      <c r="B30" s="17" t="s">
        <v>157</v>
      </c>
      <c r="C30" t="s">
        <v>391</v>
      </c>
      <c r="F30" t="s">
        <v>0</v>
      </c>
      <c r="G30" t="s">
        <v>41</v>
      </c>
      <c r="H30" t="s">
        <v>39</v>
      </c>
      <c r="J30">
        <v>6</v>
      </c>
    </row>
    <row r="31" spans="1:10" x14ac:dyDescent="0.2">
      <c r="A31" t="s">
        <v>387</v>
      </c>
      <c r="B31" s="17" t="s">
        <v>158</v>
      </c>
      <c r="C31" t="s">
        <v>392</v>
      </c>
      <c r="F31" t="s">
        <v>0</v>
      </c>
      <c r="G31" t="s">
        <v>41</v>
      </c>
      <c r="H31" t="s">
        <v>39</v>
      </c>
      <c r="J31">
        <v>5</v>
      </c>
    </row>
    <row r="32" spans="1:10" x14ac:dyDescent="0.2">
      <c r="A32" t="s">
        <v>387</v>
      </c>
      <c r="B32" s="17" t="s">
        <v>159</v>
      </c>
      <c r="C32" t="s">
        <v>393</v>
      </c>
      <c r="D32" t="s">
        <v>635</v>
      </c>
      <c r="F32" t="s">
        <v>0</v>
      </c>
      <c r="G32" t="s">
        <v>41</v>
      </c>
      <c r="H32" t="s">
        <v>39</v>
      </c>
      <c r="J32">
        <v>5</v>
      </c>
    </row>
    <row r="33" spans="1:10" x14ac:dyDescent="0.2">
      <c r="A33" t="s">
        <v>387</v>
      </c>
      <c r="B33" s="17" t="s">
        <v>160</v>
      </c>
      <c r="C33" t="s">
        <v>394</v>
      </c>
      <c r="F33" t="s">
        <v>0</v>
      </c>
      <c r="G33" t="s">
        <v>41</v>
      </c>
      <c r="H33" t="s">
        <v>39</v>
      </c>
      <c r="J33">
        <v>6</v>
      </c>
    </row>
    <row r="34" spans="1:10" x14ac:dyDescent="0.2">
      <c r="A34" t="s">
        <v>104</v>
      </c>
      <c r="B34" s="11" t="s">
        <v>161</v>
      </c>
      <c r="C34" t="s">
        <v>395</v>
      </c>
      <c r="D34" t="s">
        <v>640</v>
      </c>
      <c r="F34" t="s">
        <v>0</v>
      </c>
      <c r="G34" t="s">
        <v>41</v>
      </c>
      <c r="H34" t="s">
        <v>39</v>
      </c>
      <c r="J34">
        <v>8</v>
      </c>
    </row>
    <row r="35" spans="1:10" x14ac:dyDescent="0.2">
      <c r="A35" t="s">
        <v>104</v>
      </c>
      <c r="B35" s="11" t="s">
        <v>162</v>
      </c>
      <c r="C35" t="s">
        <v>99</v>
      </c>
      <c r="D35" t="s">
        <v>438</v>
      </c>
      <c r="F35" t="s">
        <v>0</v>
      </c>
      <c r="G35" t="s">
        <v>41</v>
      </c>
      <c r="H35" t="s">
        <v>39</v>
      </c>
      <c r="J35">
        <v>6</v>
      </c>
    </row>
    <row r="36" spans="1:10" x14ac:dyDescent="0.2">
      <c r="A36" t="s">
        <v>104</v>
      </c>
      <c r="B36" s="11" t="s">
        <v>163</v>
      </c>
      <c r="C36" t="s">
        <v>396</v>
      </c>
      <c r="F36" t="s">
        <v>0</v>
      </c>
      <c r="G36" t="s">
        <v>41</v>
      </c>
      <c r="H36" t="s">
        <v>39</v>
      </c>
      <c r="J36">
        <v>8</v>
      </c>
    </row>
    <row r="37" spans="1:10" x14ac:dyDescent="0.2">
      <c r="A37" t="s">
        <v>104</v>
      </c>
      <c r="B37" s="11" t="s">
        <v>164</v>
      </c>
      <c r="C37" t="s">
        <v>397</v>
      </c>
      <c r="D37" t="s">
        <v>643</v>
      </c>
      <c r="F37" t="s">
        <v>0</v>
      </c>
      <c r="G37" t="s">
        <v>41</v>
      </c>
      <c r="H37" t="s">
        <v>39</v>
      </c>
      <c r="J37">
        <v>8</v>
      </c>
    </row>
    <row r="38" spans="1:10" x14ac:dyDescent="0.2">
      <c r="A38" t="s">
        <v>104</v>
      </c>
      <c r="B38" s="11" t="s">
        <v>70</v>
      </c>
      <c r="C38" t="s">
        <v>70</v>
      </c>
      <c r="D38" t="s">
        <v>90</v>
      </c>
      <c r="F38" t="s">
        <v>0</v>
      </c>
      <c r="G38" t="s">
        <v>41</v>
      </c>
      <c r="H38" t="s">
        <v>39</v>
      </c>
      <c r="J38">
        <v>6</v>
      </c>
    </row>
    <row r="39" spans="1:10" x14ac:dyDescent="0.2">
      <c r="A39" t="s">
        <v>104</v>
      </c>
      <c r="B39" s="11" t="s">
        <v>201</v>
      </c>
      <c r="C39" t="s">
        <v>398</v>
      </c>
      <c r="F39" t="s">
        <v>0</v>
      </c>
      <c r="G39" t="s">
        <v>41</v>
      </c>
      <c r="H39" t="s">
        <v>39</v>
      </c>
      <c r="J39">
        <v>4</v>
      </c>
    </row>
    <row r="40" spans="1:10" x14ac:dyDescent="0.2">
      <c r="A40" t="s">
        <v>104</v>
      </c>
      <c r="B40" s="11" t="s">
        <v>165</v>
      </c>
      <c r="C40" t="s">
        <v>100</v>
      </c>
      <c r="D40" t="s">
        <v>101</v>
      </c>
      <c r="F40" t="s">
        <v>0</v>
      </c>
      <c r="G40" t="s">
        <v>41</v>
      </c>
      <c r="H40" t="s">
        <v>39</v>
      </c>
      <c r="J40">
        <v>6</v>
      </c>
    </row>
    <row r="41" spans="1:10" x14ac:dyDescent="0.2">
      <c r="A41" t="s">
        <v>104</v>
      </c>
      <c r="B41" s="11" t="s">
        <v>166</v>
      </c>
      <c r="C41" t="s">
        <v>399</v>
      </c>
      <c r="F41" t="s">
        <v>0</v>
      </c>
      <c r="G41" t="s">
        <v>41</v>
      </c>
      <c r="H41" t="s">
        <v>39</v>
      </c>
      <c r="J41">
        <v>4</v>
      </c>
    </row>
    <row r="42" spans="1:10" x14ac:dyDescent="0.2">
      <c r="A42" t="s">
        <v>104</v>
      </c>
      <c r="B42" s="11" t="s">
        <v>167</v>
      </c>
      <c r="C42" t="s">
        <v>400</v>
      </c>
      <c r="F42" t="s">
        <v>0</v>
      </c>
      <c r="G42" t="s">
        <v>41</v>
      </c>
      <c r="H42" t="s">
        <v>39</v>
      </c>
      <c r="J42">
        <v>4</v>
      </c>
    </row>
    <row r="43" spans="1:10" x14ac:dyDescent="0.2">
      <c r="A43" t="s">
        <v>104</v>
      </c>
      <c r="B43" s="11" t="s">
        <v>168</v>
      </c>
      <c r="C43" t="s">
        <v>401</v>
      </c>
      <c r="F43" t="s">
        <v>0</v>
      </c>
      <c r="G43" t="s">
        <v>41</v>
      </c>
      <c r="H43" t="s">
        <v>39</v>
      </c>
      <c r="J43">
        <v>4</v>
      </c>
    </row>
    <row r="44" spans="1:10" x14ac:dyDescent="0.2">
      <c r="A44" t="s">
        <v>388</v>
      </c>
      <c r="B44" s="19" t="s">
        <v>169</v>
      </c>
      <c r="C44" t="s">
        <v>402</v>
      </c>
      <c r="D44" t="s">
        <v>612</v>
      </c>
      <c r="F44" t="s">
        <v>0</v>
      </c>
      <c r="G44" t="s">
        <v>41</v>
      </c>
      <c r="H44" t="s">
        <v>39</v>
      </c>
      <c r="J44">
        <v>6</v>
      </c>
    </row>
    <row r="45" spans="1:10" x14ac:dyDescent="0.2">
      <c r="A45" t="s">
        <v>388</v>
      </c>
      <c r="B45" s="19" t="s">
        <v>170</v>
      </c>
      <c r="C45" t="s">
        <v>102</v>
      </c>
      <c r="D45" t="s">
        <v>611</v>
      </c>
      <c r="F45" t="s">
        <v>0</v>
      </c>
      <c r="G45" t="s">
        <v>41</v>
      </c>
      <c r="H45" t="s">
        <v>39</v>
      </c>
      <c r="J45">
        <v>8</v>
      </c>
    </row>
    <row r="46" spans="1:10" x14ac:dyDescent="0.2">
      <c r="B46" s="11"/>
    </row>
    <row r="47" spans="1:10" x14ac:dyDescent="0.2">
      <c r="B47" s="11"/>
    </row>
  </sheetData>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130"/>
  <sheetViews>
    <sheetView zoomScale="84" zoomScaleNormal="85" workbookViewId="0">
      <pane ySplit="1" topLeftCell="A9" activePane="bottomLeft" state="frozen"/>
      <selection pane="bottomLeft" activeCell="C5" sqref="C5"/>
    </sheetView>
  </sheetViews>
  <sheetFormatPr baseColWidth="10" defaultColWidth="8.83203125" defaultRowHeight="15" x14ac:dyDescent="0.2"/>
  <cols>
    <col min="1" max="1" width="13.5" customWidth="1"/>
    <col min="2" max="2" width="14.1640625" bestFit="1" customWidth="1"/>
    <col min="3" max="3" width="25.83203125" customWidth="1"/>
    <col min="4" max="4" width="12.1640625" bestFit="1" customWidth="1"/>
    <col min="5" max="5" width="44.6640625" customWidth="1"/>
    <col min="6" max="6" width="14.5" bestFit="1" customWidth="1"/>
    <col min="8" max="8" width="12" customWidth="1"/>
  </cols>
  <sheetData>
    <row r="1" spans="1:6" s="1" customFormat="1" x14ac:dyDescent="0.2">
      <c r="A1" s="1" t="s">
        <v>1</v>
      </c>
      <c r="B1" s="1" t="s">
        <v>10</v>
      </c>
      <c r="C1" s="1" t="s">
        <v>19</v>
      </c>
      <c r="D1" s="1" t="s">
        <v>49</v>
      </c>
      <c r="E1" s="1" t="s">
        <v>11</v>
      </c>
      <c r="F1" s="1" t="s">
        <v>44</v>
      </c>
    </row>
    <row r="2" spans="1:6" ht="16" x14ac:dyDescent="0.2">
      <c r="A2" s="14" t="s">
        <v>136</v>
      </c>
      <c r="B2" t="s">
        <v>198</v>
      </c>
      <c r="C2" t="s">
        <v>105</v>
      </c>
      <c r="E2" s="6"/>
    </row>
    <row r="3" spans="1:6" ht="16" x14ac:dyDescent="0.2">
      <c r="A3" s="14" t="s">
        <v>136</v>
      </c>
      <c r="B3" t="s">
        <v>253</v>
      </c>
      <c r="C3" t="s">
        <v>439</v>
      </c>
      <c r="E3" s="6"/>
    </row>
    <row r="4" spans="1:6" ht="16" x14ac:dyDescent="0.2">
      <c r="A4" s="14" t="s">
        <v>136</v>
      </c>
      <c r="B4" t="s">
        <v>404</v>
      </c>
      <c r="C4" t="s">
        <v>405</v>
      </c>
      <c r="E4" s="6"/>
    </row>
    <row r="5" spans="1:6" ht="16" x14ac:dyDescent="0.2">
      <c r="A5" s="14" t="s">
        <v>136</v>
      </c>
      <c r="B5" t="s">
        <v>58</v>
      </c>
      <c r="C5" t="s">
        <v>106</v>
      </c>
      <c r="E5" s="6"/>
    </row>
    <row r="6" spans="1:6" x14ac:dyDescent="0.2">
      <c r="A6" s="14" t="s">
        <v>171</v>
      </c>
      <c r="B6" t="s">
        <v>173</v>
      </c>
      <c r="C6" t="s">
        <v>440</v>
      </c>
    </row>
    <row r="7" spans="1:6" x14ac:dyDescent="0.2">
      <c r="A7" s="14" t="s">
        <v>171</v>
      </c>
      <c r="B7" t="s">
        <v>287</v>
      </c>
      <c r="C7" t="s">
        <v>441</v>
      </c>
    </row>
    <row r="8" spans="1:6" x14ac:dyDescent="0.2">
      <c r="A8" s="13" t="s">
        <v>135</v>
      </c>
      <c r="B8" t="s">
        <v>58</v>
      </c>
      <c r="C8" t="s">
        <v>442</v>
      </c>
    </row>
    <row r="9" spans="1:6" x14ac:dyDescent="0.2">
      <c r="A9" s="13" t="s">
        <v>135</v>
      </c>
      <c r="B9" t="s">
        <v>247</v>
      </c>
      <c r="C9" t="s">
        <v>443</v>
      </c>
    </row>
    <row r="10" spans="1:6" x14ac:dyDescent="0.2">
      <c r="A10" s="13" t="s">
        <v>135</v>
      </c>
      <c r="B10" s="26" t="s">
        <v>326</v>
      </c>
      <c r="C10" t="s">
        <v>444</v>
      </c>
    </row>
    <row r="11" spans="1:6" x14ac:dyDescent="0.2">
      <c r="A11" s="13" t="s">
        <v>135</v>
      </c>
      <c r="B11" t="s">
        <v>406</v>
      </c>
      <c r="C11" t="s">
        <v>445</v>
      </c>
    </row>
    <row r="12" spans="1:6" x14ac:dyDescent="0.2">
      <c r="A12" s="14" t="s">
        <v>137</v>
      </c>
      <c r="B12" t="s">
        <v>208</v>
      </c>
      <c r="C12" t="s">
        <v>446</v>
      </c>
    </row>
    <row r="13" spans="1:6" x14ac:dyDescent="0.2">
      <c r="A13" s="14" t="s">
        <v>137</v>
      </c>
      <c r="B13" t="s">
        <v>407</v>
      </c>
      <c r="C13" t="s">
        <v>447</v>
      </c>
    </row>
    <row r="14" spans="1:6" x14ac:dyDescent="0.2">
      <c r="A14" s="14" t="s">
        <v>137</v>
      </c>
      <c r="B14" t="s">
        <v>305</v>
      </c>
      <c r="C14" t="s">
        <v>448</v>
      </c>
    </row>
    <row r="15" spans="1:6" x14ac:dyDescent="0.2">
      <c r="A15" s="14" t="s">
        <v>137</v>
      </c>
      <c r="B15" t="s">
        <v>408</v>
      </c>
      <c r="C15" t="s">
        <v>449</v>
      </c>
    </row>
    <row r="16" spans="1:6" x14ac:dyDescent="0.2">
      <c r="A16" s="14" t="s">
        <v>138</v>
      </c>
      <c r="B16" t="s">
        <v>218</v>
      </c>
      <c r="C16" t="s">
        <v>450</v>
      </c>
    </row>
    <row r="17" spans="1:3" x14ac:dyDescent="0.2">
      <c r="A17" s="14" t="s">
        <v>138</v>
      </c>
      <c r="B17" t="s">
        <v>58</v>
      </c>
      <c r="C17" t="s">
        <v>451</v>
      </c>
    </row>
    <row r="18" spans="1:3" x14ac:dyDescent="0.2">
      <c r="A18" s="14" t="s">
        <v>176</v>
      </c>
      <c r="B18" t="s">
        <v>177</v>
      </c>
      <c r="C18" t="s">
        <v>452</v>
      </c>
    </row>
    <row r="19" spans="1:3" x14ac:dyDescent="0.2">
      <c r="A19" s="14" t="s">
        <v>176</v>
      </c>
      <c r="B19" t="s">
        <v>208</v>
      </c>
      <c r="C19" t="s">
        <v>62</v>
      </c>
    </row>
    <row r="20" spans="1:3" x14ac:dyDescent="0.2">
      <c r="A20" s="14" t="s">
        <v>176</v>
      </c>
      <c r="B20" t="s">
        <v>409</v>
      </c>
      <c r="C20" t="s">
        <v>453</v>
      </c>
    </row>
    <row r="21" spans="1:3" x14ac:dyDescent="0.2">
      <c r="A21" s="9" t="s">
        <v>139</v>
      </c>
      <c r="B21" t="s">
        <v>225</v>
      </c>
      <c r="C21" t="s">
        <v>410</v>
      </c>
    </row>
    <row r="22" spans="1:3" x14ac:dyDescent="0.2">
      <c r="A22" s="9" t="s">
        <v>139</v>
      </c>
      <c r="B22" t="s">
        <v>327</v>
      </c>
      <c r="C22" t="s">
        <v>411</v>
      </c>
    </row>
    <row r="23" spans="1:3" x14ac:dyDescent="0.2">
      <c r="A23" s="9" t="s">
        <v>140</v>
      </c>
      <c r="B23" t="s">
        <v>179</v>
      </c>
      <c r="C23" t="s">
        <v>454</v>
      </c>
    </row>
    <row r="24" spans="1:3" x14ac:dyDescent="0.2">
      <c r="A24" s="9" t="s">
        <v>140</v>
      </c>
      <c r="B24" t="s">
        <v>412</v>
      </c>
      <c r="C24" t="s">
        <v>455</v>
      </c>
    </row>
    <row r="25" spans="1:3" x14ac:dyDescent="0.2">
      <c r="A25" s="9" t="s">
        <v>140</v>
      </c>
      <c r="B25" t="s">
        <v>413</v>
      </c>
      <c r="C25" t="s">
        <v>456</v>
      </c>
    </row>
    <row r="26" spans="1:3" x14ac:dyDescent="0.2">
      <c r="A26" s="11" t="s">
        <v>141</v>
      </c>
      <c r="B26" t="s">
        <v>209</v>
      </c>
      <c r="C26" t="s">
        <v>457</v>
      </c>
    </row>
    <row r="27" spans="1:3" x14ac:dyDescent="0.2">
      <c r="A27" s="11" t="s">
        <v>141</v>
      </c>
      <c r="B27" t="s">
        <v>297</v>
      </c>
      <c r="C27" t="s">
        <v>458</v>
      </c>
    </row>
    <row r="28" spans="1:3" x14ac:dyDescent="0.2">
      <c r="A28" s="11" t="s">
        <v>141</v>
      </c>
      <c r="B28" t="s">
        <v>414</v>
      </c>
      <c r="C28" t="s">
        <v>459</v>
      </c>
    </row>
    <row r="29" spans="1:3" x14ac:dyDescent="0.2">
      <c r="A29" s="11" t="s">
        <v>142</v>
      </c>
      <c r="B29" t="s">
        <v>218</v>
      </c>
      <c r="C29" t="s">
        <v>63</v>
      </c>
    </row>
    <row r="30" spans="1:3" x14ac:dyDescent="0.2">
      <c r="A30" s="11" t="s">
        <v>142</v>
      </c>
      <c r="B30" t="s">
        <v>58</v>
      </c>
      <c r="C30" t="s">
        <v>64</v>
      </c>
    </row>
    <row r="31" spans="1:3" x14ac:dyDescent="0.2">
      <c r="A31" s="11" t="s">
        <v>143</v>
      </c>
      <c r="B31" t="s">
        <v>177</v>
      </c>
      <c r="C31" t="s">
        <v>460</v>
      </c>
    </row>
    <row r="32" spans="1:3" x14ac:dyDescent="0.2">
      <c r="A32" s="11" t="s">
        <v>143</v>
      </c>
      <c r="B32" t="s">
        <v>415</v>
      </c>
      <c r="C32" t="s">
        <v>461</v>
      </c>
    </row>
    <row r="33" spans="1:3" x14ac:dyDescent="0.2">
      <c r="A33" s="11" t="s">
        <v>143</v>
      </c>
      <c r="B33" t="s">
        <v>208</v>
      </c>
      <c r="C33" t="s">
        <v>62</v>
      </c>
    </row>
    <row r="34" spans="1:3" x14ac:dyDescent="0.2">
      <c r="A34" s="11" t="s">
        <v>144</v>
      </c>
      <c r="B34" t="s">
        <v>211</v>
      </c>
      <c r="C34" t="s">
        <v>462</v>
      </c>
    </row>
    <row r="35" spans="1:3" x14ac:dyDescent="0.2">
      <c r="A35" s="11" t="s">
        <v>144</v>
      </c>
      <c r="B35" t="s">
        <v>290</v>
      </c>
      <c r="C35" t="s">
        <v>107</v>
      </c>
    </row>
    <row r="36" spans="1:3" x14ac:dyDescent="0.2">
      <c r="A36" s="11" t="s">
        <v>144</v>
      </c>
      <c r="B36" t="s">
        <v>416</v>
      </c>
      <c r="C36" t="s">
        <v>463</v>
      </c>
    </row>
    <row r="37" spans="1:3" ht="18" x14ac:dyDescent="0.2">
      <c r="A37" s="11" t="s">
        <v>145</v>
      </c>
      <c r="B37" t="s">
        <v>207</v>
      </c>
      <c r="C37" s="31" t="s">
        <v>619</v>
      </c>
    </row>
    <row r="38" spans="1:3" ht="18" x14ac:dyDescent="0.2">
      <c r="A38" s="11" t="s">
        <v>145</v>
      </c>
      <c r="B38" t="s">
        <v>290</v>
      </c>
      <c r="C38" s="31" t="s">
        <v>620</v>
      </c>
    </row>
    <row r="39" spans="1:3" ht="18" x14ac:dyDescent="0.2">
      <c r="A39" s="11" t="s">
        <v>145</v>
      </c>
      <c r="B39" t="s">
        <v>225</v>
      </c>
      <c r="C39" s="31" t="s">
        <v>621</v>
      </c>
    </row>
    <row r="40" spans="1:3" ht="18" x14ac:dyDescent="0.2">
      <c r="A40" s="11" t="s">
        <v>145</v>
      </c>
      <c r="B40" t="s">
        <v>350</v>
      </c>
      <c r="C40" s="31" t="s">
        <v>616</v>
      </c>
    </row>
    <row r="41" spans="1:3" x14ac:dyDescent="0.2">
      <c r="A41" s="11" t="s">
        <v>185</v>
      </c>
      <c r="B41" t="s">
        <v>328</v>
      </c>
      <c r="C41" t="s">
        <v>464</v>
      </c>
    </row>
    <row r="42" spans="1:3" x14ac:dyDescent="0.2">
      <c r="A42" s="11" t="s">
        <v>185</v>
      </c>
      <c r="B42" t="s">
        <v>308</v>
      </c>
      <c r="C42" t="s">
        <v>465</v>
      </c>
    </row>
    <row r="43" spans="1:3" x14ac:dyDescent="0.2">
      <c r="A43" s="11" t="s">
        <v>185</v>
      </c>
      <c r="B43" t="s">
        <v>299</v>
      </c>
      <c r="C43" t="s">
        <v>466</v>
      </c>
    </row>
    <row r="44" spans="1:3" x14ac:dyDescent="0.2">
      <c r="A44" s="11" t="s">
        <v>146</v>
      </c>
      <c r="B44" t="s">
        <v>404</v>
      </c>
      <c r="C44" t="s">
        <v>623</v>
      </c>
    </row>
    <row r="45" spans="1:3" x14ac:dyDescent="0.2">
      <c r="A45" s="11" t="s">
        <v>146</v>
      </c>
      <c r="B45" t="s">
        <v>290</v>
      </c>
      <c r="C45" t="s">
        <v>622</v>
      </c>
    </row>
    <row r="46" spans="1:3" x14ac:dyDescent="0.2">
      <c r="A46" s="11" t="s">
        <v>146</v>
      </c>
      <c r="B46" t="s">
        <v>253</v>
      </c>
      <c r="C46" t="s">
        <v>624</v>
      </c>
    </row>
    <row r="47" spans="1:3" x14ac:dyDescent="0.2">
      <c r="A47" s="11" t="s">
        <v>147</v>
      </c>
      <c r="B47" t="s">
        <v>250</v>
      </c>
      <c r="C47" t="s">
        <v>467</v>
      </c>
    </row>
    <row r="48" spans="1:3" x14ac:dyDescent="0.2">
      <c r="A48" s="11" t="s">
        <v>147</v>
      </c>
      <c r="B48" t="s">
        <v>253</v>
      </c>
      <c r="C48" t="s">
        <v>468</v>
      </c>
    </row>
    <row r="49" spans="1:3" x14ac:dyDescent="0.2">
      <c r="A49" s="11" t="s">
        <v>147</v>
      </c>
      <c r="B49" t="s">
        <v>225</v>
      </c>
      <c r="C49" t="s">
        <v>469</v>
      </c>
    </row>
    <row r="50" spans="1:3" x14ac:dyDescent="0.2">
      <c r="A50" s="11" t="s">
        <v>148</v>
      </c>
      <c r="B50" t="s">
        <v>179</v>
      </c>
      <c r="C50" t="s">
        <v>626</v>
      </c>
    </row>
    <row r="51" spans="1:3" x14ac:dyDescent="0.2">
      <c r="A51" s="11" t="s">
        <v>148</v>
      </c>
      <c r="B51" t="s">
        <v>417</v>
      </c>
      <c r="C51" t="s">
        <v>627</v>
      </c>
    </row>
    <row r="52" spans="1:3" x14ac:dyDescent="0.2">
      <c r="A52" s="11" t="s">
        <v>149</v>
      </c>
      <c r="B52" t="s">
        <v>225</v>
      </c>
      <c r="C52" s="30" t="s">
        <v>629</v>
      </c>
    </row>
    <row r="53" spans="1:3" x14ac:dyDescent="0.2">
      <c r="A53" s="11" t="s">
        <v>149</v>
      </c>
      <c r="B53" t="s">
        <v>290</v>
      </c>
      <c r="C53" s="30" t="s">
        <v>630</v>
      </c>
    </row>
    <row r="54" spans="1:3" x14ac:dyDescent="0.2">
      <c r="A54" s="11" t="s">
        <v>149</v>
      </c>
      <c r="B54" t="s">
        <v>207</v>
      </c>
      <c r="C54" s="30" t="s">
        <v>631</v>
      </c>
    </row>
    <row r="55" spans="1:3" x14ac:dyDescent="0.2">
      <c r="A55" s="11" t="s">
        <v>150</v>
      </c>
      <c r="B55" t="s">
        <v>344</v>
      </c>
      <c r="C55" t="s">
        <v>344</v>
      </c>
    </row>
    <row r="56" spans="1:3" x14ac:dyDescent="0.2">
      <c r="A56" s="11" t="s">
        <v>150</v>
      </c>
      <c r="B56" t="s">
        <v>336</v>
      </c>
      <c r="C56" t="s">
        <v>336</v>
      </c>
    </row>
    <row r="57" spans="1:3" x14ac:dyDescent="0.2">
      <c r="A57" s="11" t="s">
        <v>150</v>
      </c>
      <c r="B57" t="s">
        <v>330</v>
      </c>
      <c r="C57" t="s">
        <v>330</v>
      </c>
    </row>
    <row r="58" spans="1:3" x14ac:dyDescent="0.2">
      <c r="A58" s="11" t="s">
        <v>150</v>
      </c>
      <c r="B58" t="s">
        <v>192</v>
      </c>
      <c r="C58" t="s">
        <v>192</v>
      </c>
    </row>
    <row r="59" spans="1:3" x14ac:dyDescent="0.2">
      <c r="A59" s="11" t="s">
        <v>150</v>
      </c>
      <c r="B59" t="s">
        <v>418</v>
      </c>
      <c r="C59" t="s">
        <v>418</v>
      </c>
    </row>
    <row r="60" spans="1:3" x14ac:dyDescent="0.2">
      <c r="A60" s="11" t="s">
        <v>74</v>
      </c>
      <c r="B60" t="s">
        <v>335</v>
      </c>
      <c r="C60" t="s">
        <v>675</v>
      </c>
    </row>
    <row r="61" spans="1:3" x14ac:dyDescent="0.2">
      <c r="A61" s="11" t="s">
        <v>74</v>
      </c>
      <c r="B61" t="s">
        <v>207</v>
      </c>
      <c r="C61" t="s">
        <v>676</v>
      </c>
    </row>
    <row r="62" spans="1:3" ht="18" x14ac:dyDescent="0.2">
      <c r="A62" s="11" t="s">
        <v>74</v>
      </c>
      <c r="B62" t="s">
        <v>290</v>
      </c>
      <c r="C62" s="31" t="s">
        <v>673</v>
      </c>
    </row>
    <row r="63" spans="1:3" ht="18" x14ac:dyDescent="0.2">
      <c r="A63" s="11" t="s">
        <v>74</v>
      </c>
      <c r="B63" t="s">
        <v>225</v>
      </c>
      <c r="C63" s="31" t="s">
        <v>674</v>
      </c>
    </row>
    <row r="64" spans="1:3" ht="18" x14ac:dyDescent="0.2">
      <c r="A64" s="11" t="s">
        <v>74</v>
      </c>
      <c r="B64" t="s">
        <v>350</v>
      </c>
      <c r="C64" s="31" t="s">
        <v>672</v>
      </c>
    </row>
    <row r="65" spans="1:3" x14ac:dyDescent="0.2">
      <c r="A65" s="11" t="s">
        <v>151</v>
      </c>
      <c r="B65" t="s">
        <v>192</v>
      </c>
      <c r="C65" t="s">
        <v>192</v>
      </c>
    </row>
    <row r="66" spans="1:3" x14ac:dyDescent="0.2">
      <c r="A66" s="11" t="s">
        <v>151</v>
      </c>
      <c r="B66" t="s">
        <v>419</v>
      </c>
      <c r="C66" t="s">
        <v>419</v>
      </c>
    </row>
    <row r="67" spans="1:3" x14ac:dyDescent="0.2">
      <c r="A67" s="11" t="s">
        <v>152</v>
      </c>
      <c r="B67" t="s">
        <v>218</v>
      </c>
      <c r="C67" t="s">
        <v>218</v>
      </c>
    </row>
    <row r="68" spans="1:3" x14ac:dyDescent="0.2">
      <c r="A68" s="11" t="s">
        <v>152</v>
      </c>
      <c r="B68" t="s">
        <v>351</v>
      </c>
      <c r="C68" t="s">
        <v>351</v>
      </c>
    </row>
    <row r="69" spans="1:3" x14ac:dyDescent="0.2">
      <c r="A69" s="11" t="s">
        <v>152</v>
      </c>
      <c r="B69" t="s">
        <v>206</v>
      </c>
      <c r="C69" t="s">
        <v>206</v>
      </c>
    </row>
    <row r="70" spans="1:3" x14ac:dyDescent="0.2">
      <c r="A70" s="11" t="s">
        <v>152</v>
      </c>
      <c r="B70" t="s">
        <v>420</v>
      </c>
      <c r="C70" t="s">
        <v>420</v>
      </c>
    </row>
    <row r="71" spans="1:3" x14ac:dyDescent="0.2">
      <c r="A71" s="11" t="s">
        <v>153</v>
      </c>
      <c r="B71" t="s">
        <v>421</v>
      </c>
      <c r="C71" t="s">
        <v>470</v>
      </c>
    </row>
    <row r="72" spans="1:3" x14ac:dyDescent="0.2">
      <c r="A72" s="11" t="s">
        <v>153</v>
      </c>
      <c r="B72" t="s">
        <v>422</v>
      </c>
      <c r="C72" t="s">
        <v>471</v>
      </c>
    </row>
    <row r="73" spans="1:3" x14ac:dyDescent="0.2">
      <c r="A73" s="11" t="s">
        <v>153</v>
      </c>
      <c r="B73" t="s">
        <v>207</v>
      </c>
      <c r="C73" t="s">
        <v>472</v>
      </c>
    </row>
    <row r="74" spans="1:3" x14ac:dyDescent="0.2">
      <c r="A74" s="11" t="s">
        <v>69</v>
      </c>
      <c r="B74" t="s">
        <v>308</v>
      </c>
      <c r="C74" t="s">
        <v>465</v>
      </c>
    </row>
    <row r="75" spans="1:3" x14ac:dyDescent="0.2">
      <c r="A75" s="11" t="s">
        <v>69</v>
      </c>
      <c r="B75" t="s">
        <v>328</v>
      </c>
      <c r="C75" t="s">
        <v>464</v>
      </c>
    </row>
    <row r="76" spans="1:3" x14ac:dyDescent="0.2">
      <c r="A76" s="11" t="s">
        <v>69</v>
      </c>
      <c r="B76" t="s">
        <v>299</v>
      </c>
      <c r="C76" t="s">
        <v>466</v>
      </c>
    </row>
    <row r="77" spans="1:3" x14ac:dyDescent="0.2">
      <c r="A77" s="11" t="s">
        <v>69</v>
      </c>
      <c r="B77" t="s">
        <v>423</v>
      </c>
      <c r="C77" t="s">
        <v>473</v>
      </c>
    </row>
    <row r="78" spans="1:3" x14ac:dyDescent="0.2">
      <c r="A78" s="17" t="s">
        <v>154</v>
      </c>
      <c r="B78" t="s">
        <v>179</v>
      </c>
      <c r="C78" t="s">
        <v>454</v>
      </c>
    </row>
    <row r="79" spans="1:3" x14ac:dyDescent="0.2">
      <c r="A79" s="17" t="s">
        <v>154</v>
      </c>
      <c r="B79" t="s">
        <v>283</v>
      </c>
      <c r="C79" t="s">
        <v>474</v>
      </c>
    </row>
    <row r="80" spans="1:3" x14ac:dyDescent="0.2">
      <c r="A80" s="17" t="s">
        <v>155</v>
      </c>
      <c r="B80" t="s">
        <v>179</v>
      </c>
      <c r="C80" t="s">
        <v>454</v>
      </c>
    </row>
    <row r="81" spans="1:3" x14ac:dyDescent="0.2">
      <c r="A81" s="17" t="s">
        <v>155</v>
      </c>
      <c r="B81" t="s">
        <v>424</v>
      </c>
      <c r="C81" t="s">
        <v>475</v>
      </c>
    </row>
    <row r="82" spans="1:3" x14ac:dyDescent="0.2">
      <c r="A82" s="17" t="s">
        <v>156</v>
      </c>
      <c r="B82" t="s">
        <v>179</v>
      </c>
      <c r="C82" t="s">
        <v>476</v>
      </c>
    </row>
    <row r="83" spans="1:3" x14ac:dyDescent="0.2">
      <c r="A83" s="17" t="s">
        <v>156</v>
      </c>
      <c r="B83" t="s">
        <v>253</v>
      </c>
      <c r="C83" t="s">
        <v>477</v>
      </c>
    </row>
    <row r="84" spans="1:3" x14ac:dyDescent="0.2">
      <c r="A84" s="17" t="s">
        <v>156</v>
      </c>
      <c r="B84" t="s">
        <v>425</v>
      </c>
      <c r="C84" t="s">
        <v>478</v>
      </c>
    </row>
    <row r="85" spans="1:3" x14ac:dyDescent="0.2">
      <c r="A85" s="17" t="s">
        <v>157</v>
      </c>
      <c r="B85" t="s">
        <v>179</v>
      </c>
      <c r="C85" t="s">
        <v>479</v>
      </c>
    </row>
    <row r="86" spans="1:3" x14ac:dyDescent="0.2">
      <c r="A86" s="17" t="s">
        <v>157</v>
      </c>
      <c r="B86" t="s">
        <v>253</v>
      </c>
      <c r="C86" t="s">
        <v>480</v>
      </c>
    </row>
    <row r="87" spans="1:3" x14ac:dyDescent="0.2">
      <c r="A87" s="17" t="s">
        <v>157</v>
      </c>
      <c r="B87" t="s">
        <v>404</v>
      </c>
      <c r="C87" t="s">
        <v>481</v>
      </c>
    </row>
    <row r="88" spans="1:3" x14ac:dyDescent="0.2">
      <c r="A88" s="17" t="s">
        <v>158</v>
      </c>
      <c r="B88" t="s">
        <v>177</v>
      </c>
      <c r="C88" t="s">
        <v>452</v>
      </c>
    </row>
    <row r="89" spans="1:3" x14ac:dyDescent="0.2">
      <c r="A89" s="17" t="s">
        <v>158</v>
      </c>
      <c r="B89" t="s">
        <v>409</v>
      </c>
      <c r="C89" t="s">
        <v>453</v>
      </c>
    </row>
    <row r="90" spans="1:3" x14ac:dyDescent="0.2">
      <c r="A90" s="17" t="s">
        <v>158</v>
      </c>
      <c r="B90" t="s">
        <v>208</v>
      </c>
      <c r="C90" t="s">
        <v>62</v>
      </c>
    </row>
    <row r="91" spans="1:3" x14ac:dyDescent="0.2">
      <c r="A91" s="17" t="s">
        <v>159</v>
      </c>
      <c r="B91" t="s">
        <v>197</v>
      </c>
      <c r="C91" t="s">
        <v>634</v>
      </c>
    </row>
    <row r="92" spans="1:3" x14ac:dyDescent="0.2">
      <c r="A92" s="17" t="s">
        <v>159</v>
      </c>
      <c r="B92" t="s">
        <v>336</v>
      </c>
      <c r="C92" t="s">
        <v>482</v>
      </c>
    </row>
    <row r="93" spans="1:3" x14ac:dyDescent="0.2">
      <c r="A93" s="17" t="s">
        <v>159</v>
      </c>
      <c r="B93" t="s">
        <v>275</v>
      </c>
      <c r="C93" t="s">
        <v>483</v>
      </c>
    </row>
    <row r="94" spans="1:3" x14ac:dyDescent="0.2">
      <c r="A94" s="17" t="s">
        <v>160</v>
      </c>
      <c r="B94" t="s">
        <v>198</v>
      </c>
      <c r="C94" t="s">
        <v>484</v>
      </c>
    </row>
    <row r="95" spans="1:3" x14ac:dyDescent="0.2">
      <c r="A95" s="17" t="s">
        <v>160</v>
      </c>
      <c r="B95" t="s">
        <v>200</v>
      </c>
      <c r="C95" t="s">
        <v>636</v>
      </c>
    </row>
    <row r="96" spans="1:3" x14ac:dyDescent="0.2">
      <c r="A96" s="11" t="s">
        <v>161</v>
      </c>
      <c r="B96" t="s">
        <v>218</v>
      </c>
      <c r="C96" t="s">
        <v>637</v>
      </c>
    </row>
    <row r="97" spans="1:3" x14ac:dyDescent="0.2">
      <c r="A97" s="11" t="s">
        <v>161</v>
      </c>
      <c r="B97" t="s">
        <v>336</v>
      </c>
      <c r="C97" t="s">
        <v>638</v>
      </c>
    </row>
    <row r="98" spans="1:3" x14ac:dyDescent="0.2">
      <c r="A98" s="11" t="s">
        <v>161</v>
      </c>
      <c r="B98" t="s">
        <v>58</v>
      </c>
      <c r="C98" t="s">
        <v>639</v>
      </c>
    </row>
    <row r="99" spans="1:3" x14ac:dyDescent="0.2">
      <c r="A99" s="11" t="s">
        <v>162</v>
      </c>
      <c r="B99" t="s">
        <v>177</v>
      </c>
      <c r="C99" t="s">
        <v>452</v>
      </c>
    </row>
    <row r="100" spans="1:3" x14ac:dyDescent="0.2">
      <c r="A100" s="11" t="s">
        <v>162</v>
      </c>
      <c r="B100" t="s">
        <v>208</v>
      </c>
      <c r="C100" t="s">
        <v>62</v>
      </c>
    </row>
    <row r="101" spans="1:3" x14ac:dyDescent="0.2">
      <c r="A101" s="11" t="s">
        <v>162</v>
      </c>
      <c r="B101" t="s">
        <v>409</v>
      </c>
      <c r="C101" t="s">
        <v>453</v>
      </c>
    </row>
    <row r="102" spans="1:3" x14ac:dyDescent="0.2">
      <c r="A102" s="11" t="s">
        <v>163</v>
      </c>
      <c r="B102" t="s">
        <v>208</v>
      </c>
      <c r="C102" t="s">
        <v>446</v>
      </c>
    </row>
    <row r="103" spans="1:3" x14ac:dyDescent="0.2">
      <c r="A103" s="11" t="s">
        <v>163</v>
      </c>
      <c r="B103" t="s">
        <v>407</v>
      </c>
      <c r="C103" t="s">
        <v>447</v>
      </c>
    </row>
    <row r="104" spans="1:3" x14ac:dyDescent="0.2">
      <c r="A104" s="11" t="s">
        <v>163</v>
      </c>
      <c r="B104" t="s">
        <v>305</v>
      </c>
      <c r="C104" t="s">
        <v>448</v>
      </c>
    </row>
    <row r="105" spans="1:3" x14ac:dyDescent="0.2">
      <c r="A105" s="11" t="s">
        <v>164</v>
      </c>
      <c r="B105" t="s">
        <v>58</v>
      </c>
      <c r="C105" t="s">
        <v>71</v>
      </c>
    </row>
    <row r="106" spans="1:3" x14ac:dyDescent="0.2">
      <c r="A106" s="11" t="s">
        <v>164</v>
      </c>
      <c r="B106" t="s">
        <v>336</v>
      </c>
      <c r="C106" t="s">
        <v>641</v>
      </c>
    </row>
    <row r="107" spans="1:3" x14ac:dyDescent="0.2">
      <c r="A107" s="11" t="s">
        <v>164</v>
      </c>
      <c r="B107" t="s">
        <v>218</v>
      </c>
      <c r="C107" t="s">
        <v>642</v>
      </c>
    </row>
    <row r="108" spans="1:3" x14ac:dyDescent="0.2">
      <c r="A108" s="11" t="s">
        <v>70</v>
      </c>
      <c r="B108" t="s">
        <v>198</v>
      </c>
      <c r="C108" t="s">
        <v>485</v>
      </c>
    </row>
    <row r="109" spans="1:3" x14ac:dyDescent="0.2">
      <c r="A109" s="11" t="s">
        <v>70</v>
      </c>
      <c r="B109" t="s">
        <v>200</v>
      </c>
      <c r="C109" t="s">
        <v>486</v>
      </c>
    </row>
    <row r="110" spans="1:3" x14ac:dyDescent="0.2">
      <c r="A110" s="11" t="s">
        <v>201</v>
      </c>
      <c r="B110" t="s">
        <v>58</v>
      </c>
      <c r="C110" t="s">
        <v>64</v>
      </c>
    </row>
    <row r="111" spans="1:3" x14ac:dyDescent="0.2">
      <c r="A111" s="11" t="s">
        <v>201</v>
      </c>
      <c r="B111" t="s">
        <v>218</v>
      </c>
      <c r="C111" t="s">
        <v>487</v>
      </c>
    </row>
    <row r="112" spans="1:3" x14ac:dyDescent="0.2">
      <c r="A112" s="11" t="s">
        <v>165</v>
      </c>
      <c r="B112">
        <v>0</v>
      </c>
      <c r="C112" t="s">
        <v>491</v>
      </c>
    </row>
    <row r="113" spans="1:3" x14ac:dyDescent="0.2">
      <c r="A113" s="11" t="s">
        <v>165</v>
      </c>
      <c r="B113" s="25" t="s">
        <v>345</v>
      </c>
      <c r="C113" s="25" t="s">
        <v>488</v>
      </c>
    </row>
    <row r="114" spans="1:3" x14ac:dyDescent="0.2">
      <c r="A114" s="11" t="s">
        <v>165</v>
      </c>
      <c r="B114" t="s">
        <v>332</v>
      </c>
      <c r="C114" t="s">
        <v>489</v>
      </c>
    </row>
    <row r="115" spans="1:3" x14ac:dyDescent="0.2">
      <c r="A115" s="11" t="s">
        <v>165</v>
      </c>
      <c r="B115">
        <v>100</v>
      </c>
      <c r="C115" t="s">
        <v>490</v>
      </c>
    </row>
    <row r="116" spans="1:3" x14ac:dyDescent="0.2">
      <c r="A116" s="11" t="s">
        <v>166</v>
      </c>
      <c r="B116" t="s">
        <v>333</v>
      </c>
      <c r="C116" t="s">
        <v>492</v>
      </c>
    </row>
    <row r="117" spans="1:3" x14ac:dyDescent="0.2">
      <c r="A117" s="11" t="s">
        <v>166</v>
      </c>
      <c r="B117" t="s">
        <v>209</v>
      </c>
      <c r="C117" t="s">
        <v>493</v>
      </c>
    </row>
    <row r="118" spans="1:3" x14ac:dyDescent="0.2">
      <c r="A118" s="11" t="s">
        <v>166</v>
      </c>
      <c r="B118" t="s">
        <v>428</v>
      </c>
      <c r="C118" t="s">
        <v>494</v>
      </c>
    </row>
    <row r="119" spans="1:3" x14ac:dyDescent="0.2">
      <c r="A119" s="11" t="s">
        <v>166</v>
      </c>
      <c r="B119" t="s">
        <v>429</v>
      </c>
      <c r="C119" t="s">
        <v>495</v>
      </c>
    </row>
    <row r="120" spans="1:3" x14ac:dyDescent="0.2">
      <c r="A120" s="11" t="s">
        <v>167</v>
      </c>
      <c r="B120" t="s">
        <v>58</v>
      </c>
      <c r="C120" t="s">
        <v>496</v>
      </c>
    </row>
    <row r="121" spans="1:3" x14ac:dyDescent="0.2">
      <c r="A121" s="11" t="s">
        <v>167</v>
      </c>
      <c r="B121" t="s">
        <v>299</v>
      </c>
      <c r="C121" t="s">
        <v>497</v>
      </c>
    </row>
    <row r="122" spans="1:3" x14ac:dyDescent="0.2">
      <c r="A122" s="11" t="s">
        <v>167</v>
      </c>
      <c r="B122" s="24" t="s">
        <v>326</v>
      </c>
      <c r="C122" t="s">
        <v>498</v>
      </c>
    </row>
    <row r="123" spans="1:3" x14ac:dyDescent="0.2">
      <c r="A123" s="11" t="s">
        <v>167</v>
      </c>
      <c r="B123" s="24" t="s">
        <v>406</v>
      </c>
      <c r="C123" t="s">
        <v>499</v>
      </c>
    </row>
    <row r="124" spans="1:3" x14ac:dyDescent="0.2">
      <c r="A124" s="11" t="s">
        <v>168</v>
      </c>
      <c r="B124" t="s">
        <v>209</v>
      </c>
      <c r="C124" t="s">
        <v>500</v>
      </c>
    </row>
    <row r="125" spans="1:3" x14ac:dyDescent="0.2">
      <c r="A125" s="11" t="s">
        <v>168</v>
      </c>
      <c r="B125" t="s">
        <v>414</v>
      </c>
      <c r="C125" t="s">
        <v>501</v>
      </c>
    </row>
    <row r="126" spans="1:3" x14ac:dyDescent="0.2">
      <c r="A126" s="11" t="s">
        <v>168</v>
      </c>
      <c r="B126" t="s">
        <v>430</v>
      </c>
      <c r="C126" t="s">
        <v>502</v>
      </c>
    </row>
    <row r="127" spans="1:3" x14ac:dyDescent="0.2">
      <c r="A127" s="19" t="s">
        <v>169</v>
      </c>
      <c r="B127">
        <v>2</v>
      </c>
      <c r="C127" t="s">
        <v>503</v>
      </c>
    </row>
    <row r="128" spans="1:3" x14ac:dyDescent="0.2">
      <c r="A128" s="19" t="s">
        <v>169</v>
      </c>
      <c r="B128">
        <v>3</v>
      </c>
      <c r="C128" t="s">
        <v>504</v>
      </c>
    </row>
    <row r="129" spans="1:3" x14ac:dyDescent="0.2">
      <c r="A129" s="19" t="s">
        <v>170</v>
      </c>
      <c r="B129" t="s">
        <v>225</v>
      </c>
      <c r="C129" t="s">
        <v>505</v>
      </c>
    </row>
    <row r="130" spans="1:3" x14ac:dyDescent="0.2">
      <c r="A130" s="19" t="s">
        <v>170</v>
      </c>
      <c r="B130" t="s">
        <v>207</v>
      </c>
      <c r="C130" t="s">
        <v>506</v>
      </c>
    </row>
  </sheetData>
  <phoneticPr fontId="25"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A1E79-6538-6A40-AF91-FAF5258EBD9D}">
  <sheetPr codeName="Sheet11"/>
  <dimension ref="A1:S317"/>
  <sheetViews>
    <sheetView tabSelected="1" zoomScale="91" zoomScaleNormal="85" workbookViewId="0">
      <pane ySplit="1" topLeftCell="A129" activePane="bottomLeft" state="frozen"/>
      <selection pane="bottomLeft" activeCell="H153" sqref="H153:H155"/>
    </sheetView>
  </sheetViews>
  <sheetFormatPr baseColWidth="10" defaultColWidth="8.83203125" defaultRowHeight="15" x14ac:dyDescent="0.2"/>
  <cols>
    <col min="2" max="2" width="90.83203125" customWidth="1"/>
    <col min="3" max="3" width="9" customWidth="1"/>
    <col min="4" max="4" width="8.83203125" bestFit="1" customWidth="1"/>
    <col min="5" max="5" width="12" bestFit="1" customWidth="1"/>
    <col min="6" max="6" width="12.1640625" customWidth="1"/>
    <col min="7" max="7" width="7.5" bestFit="1" customWidth="1"/>
    <col min="8" max="8" width="29.5" customWidth="1"/>
    <col min="9" max="9" width="21.5" customWidth="1"/>
    <col min="10" max="10" width="12.5" bestFit="1" customWidth="1"/>
    <col min="11" max="11" width="9.33203125" bestFit="1" customWidth="1"/>
    <col min="12" max="12" width="65.5" customWidth="1"/>
    <col min="19" max="19" width="8.83203125" customWidth="1"/>
  </cols>
  <sheetData>
    <row r="1" spans="1:13" s="1" customFormat="1" x14ac:dyDescent="0.2">
      <c r="A1" s="1" t="s">
        <v>554</v>
      </c>
      <c r="B1" s="1" t="s">
        <v>12</v>
      </c>
      <c r="C1" s="1" t="s">
        <v>51</v>
      </c>
      <c r="D1" s="1" t="s">
        <v>52</v>
      </c>
      <c r="E1" s="1" t="s">
        <v>17</v>
      </c>
      <c r="F1" s="1" t="s">
        <v>13</v>
      </c>
      <c r="G1" s="1" t="s">
        <v>18</v>
      </c>
      <c r="H1" s="1" t="s">
        <v>15</v>
      </c>
      <c r="I1" s="1" t="s">
        <v>9</v>
      </c>
      <c r="J1" s="1" t="s">
        <v>1</v>
      </c>
      <c r="K1" t="s">
        <v>14</v>
      </c>
      <c r="L1" t="s">
        <v>45</v>
      </c>
      <c r="M1" s="1" t="s">
        <v>46</v>
      </c>
    </row>
    <row r="2" spans="1:13" s="1" customFormat="1" ht="24" x14ac:dyDescent="0.3">
      <c r="A2" s="1">
        <v>1</v>
      </c>
      <c r="B2" s="40" t="s">
        <v>521</v>
      </c>
      <c r="E2" s="5"/>
      <c r="K2"/>
      <c r="L2"/>
    </row>
    <row r="3" spans="1:13" s="1" customFormat="1" x14ac:dyDescent="0.2">
      <c r="A3" s="1">
        <v>2</v>
      </c>
      <c r="B3" s="1" t="s">
        <v>527</v>
      </c>
      <c r="E3" s="4">
        <v>1</v>
      </c>
      <c r="F3" t="s">
        <v>111</v>
      </c>
      <c r="G3"/>
      <c r="H3"/>
      <c r="I3" s="1" t="s">
        <v>79</v>
      </c>
      <c r="K3"/>
      <c r="L3"/>
    </row>
    <row r="4" spans="1:13" s="1" customFormat="1" x14ac:dyDescent="0.2">
      <c r="A4" s="1">
        <v>3</v>
      </c>
      <c r="B4" s="1" t="s">
        <v>524</v>
      </c>
      <c r="E4" s="4">
        <v>1</v>
      </c>
      <c r="F4" t="s">
        <v>48</v>
      </c>
      <c r="G4" s="1">
        <v>1</v>
      </c>
      <c r="H4" s="1" t="s">
        <v>525</v>
      </c>
      <c r="I4" s="1" t="s">
        <v>79</v>
      </c>
      <c r="J4" s="1" t="s">
        <v>156</v>
      </c>
      <c r="K4"/>
      <c r="L4"/>
    </row>
    <row r="5" spans="1:13" s="1" customFormat="1" x14ac:dyDescent="0.2">
      <c r="A5" s="1">
        <v>4</v>
      </c>
      <c r="B5" s="1" t="s">
        <v>522</v>
      </c>
      <c r="E5" s="4">
        <v>1</v>
      </c>
      <c r="F5" t="s">
        <v>48</v>
      </c>
      <c r="G5" s="1">
        <v>2</v>
      </c>
      <c r="H5" s="1" t="s">
        <v>523</v>
      </c>
      <c r="I5" s="1" t="s">
        <v>79</v>
      </c>
      <c r="J5" s="1" t="s">
        <v>155</v>
      </c>
      <c r="K5"/>
      <c r="L5"/>
    </row>
    <row r="6" spans="1:13" x14ac:dyDescent="0.2">
      <c r="A6" s="1">
        <v>5</v>
      </c>
      <c r="B6" s="1" t="s">
        <v>526</v>
      </c>
      <c r="E6" s="4">
        <v>1</v>
      </c>
      <c r="F6" t="s">
        <v>48</v>
      </c>
      <c r="G6">
        <v>3</v>
      </c>
      <c r="H6" s="1" t="s">
        <v>585</v>
      </c>
      <c r="I6" s="1" t="s">
        <v>79</v>
      </c>
    </row>
    <row r="7" spans="1:13" x14ac:dyDescent="0.2">
      <c r="A7" s="1">
        <v>6</v>
      </c>
      <c r="B7" s="1" t="s">
        <v>108</v>
      </c>
      <c r="E7" s="4">
        <v>1</v>
      </c>
      <c r="F7" t="s">
        <v>48</v>
      </c>
      <c r="G7" s="1">
        <v>4</v>
      </c>
      <c r="H7" s="1" t="s">
        <v>586</v>
      </c>
      <c r="I7" s="1" t="s">
        <v>79</v>
      </c>
    </row>
    <row r="8" spans="1:13" x14ac:dyDescent="0.2">
      <c r="A8" s="1"/>
      <c r="B8" s="1" t="s">
        <v>971</v>
      </c>
      <c r="E8" s="4">
        <v>1</v>
      </c>
      <c r="F8" t="s">
        <v>48</v>
      </c>
      <c r="G8" s="1"/>
      <c r="H8" s="1" t="s">
        <v>972</v>
      </c>
      <c r="I8" s="1" t="s">
        <v>79</v>
      </c>
    </row>
    <row r="9" spans="1:13" x14ac:dyDescent="0.2">
      <c r="A9" s="1"/>
      <c r="B9" s="1" t="s">
        <v>973</v>
      </c>
      <c r="E9" s="4">
        <v>1</v>
      </c>
      <c r="F9" t="s">
        <v>48</v>
      </c>
      <c r="G9" s="1"/>
      <c r="H9" s="1" t="s">
        <v>972</v>
      </c>
      <c r="I9" s="1" t="s">
        <v>79</v>
      </c>
    </row>
    <row r="10" spans="1:13" x14ac:dyDescent="0.2">
      <c r="A10" s="1"/>
      <c r="B10" s="1" t="s">
        <v>974</v>
      </c>
      <c r="E10" s="4">
        <v>1</v>
      </c>
      <c r="F10" t="s">
        <v>48</v>
      </c>
      <c r="G10" s="1"/>
      <c r="H10" s="1" t="s">
        <v>972</v>
      </c>
      <c r="I10" s="1" t="s">
        <v>79</v>
      </c>
    </row>
    <row r="11" spans="1:13" x14ac:dyDescent="0.2">
      <c r="A11" s="1">
        <v>7</v>
      </c>
      <c r="B11" s="1" t="s">
        <v>60</v>
      </c>
    </row>
    <row r="12" spans="1:13" ht="24" x14ac:dyDescent="0.3">
      <c r="A12" s="1">
        <v>8</v>
      </c>
      <c r="B12" s="40" t="s">
        <v>537</v>
      </c>
    </row>
    <row r="13" spans="1:13" x14ac:dyDescent="0.2">
      <c r="A13" s="1">
        <v>9</v>
      </c>
      <c r="B13" s="1" t="s">
        <v>536</v>
      </c>
      <c r="E13" s="4">
        <v>1</v>
      </c>
      <c r="F13" t="s">
        <v>111</v>
      </c>
      <c r="I13" s="1" t="s">
        <v>118</v>
      </c>
    </row>
    <row r="14" spans="1:13" ht="26" x14ac:dyDescent="0.3">
      <c r="B14" s="1" t="s">
        <v>60</v>
      </c>
      <c r="L14" s="39" t="s">
        <v>810</v>
      </c>
    </row>
    <row r="15" spans="1:13" x14ac:dyDescent="0.2">
      <c r="A15" s="1"/>
      <c r="B15" s="1" t="s">
        <v>581</v>
      </c>
      <c r="E15" s="4">
        <v>1</v>
      </c>
      <c r="F15" t="s">
        <v>48</v>
      </c>
      <c r="H15" t="s">
        <v>584</v>
      </c>
      <c r="I15" s="1" t="s">
        <v>118</v>
      </c>
    </row>
    <row r="16" spans="1:13" x14ac:dyDescent="0.2">
      <c r="A16" s="1"/>
      <c r="B16" s="1" t="s">
        <v>580</v>
      </c>
      <c r="E16" s="4">
        <v>1</v>
      </c>
      <c r="F16" t="s">
        <v>48</v>
      </c>
      <c r="H16" t="s">
        <v>584</v>
      </c>
      <c r="I16" s="1" t="s">
        <v>118</v>
      </c>
    </row>
    <row r="17" spans="1:13" x14ac:dyDescent="0.2">
      <c r="A17" s="1"/>
      <c r="B17" s="1" t="s">
        <v>582</v>
      </c>
      <c r="E17" s="4">
        <v>1</v>
      </c>
      <c r="F17" t="s">
        <v>48</v>
      </c>
      <c r="H17" t="s">
        <v>598</v>
      </c>
      <c r="I17" s="1" t="s">
        <v>118</v>
      </c>
    </row>
    <row r="18" spans="1:13" x14ac:dyDescent="0.2">
      <c r="A18" s="1"/>
      <c r="B18" s="1" t="s">
        <v>583</v>
      </c>
      <c r="E18" s="4">
        <v>1</v>
      </c>
      <c r="F18" t="s">
        <v>48</v>
      </c>
      <c r="H18" t="s">
        <v>599</v>
      </c>
      <c r="I18" s="1" t="s">
        <v>118</v>
      </c>
    </row>
    <row r="19" spans="1:13" x14ac:dyDescent="0.2">
      <c r="A19" s="1"/>
      <c r="B19" s="1" t="s">
        <v>587</v>
      </c>
      <c r="E19" s="4">
        <v>1</v>
      </c>
      <c r="F19" t="s">
        <v>48</v>
      </c>
      <c r="H19" t="s">
        <v>600</v>
      </c>
      <c r="I19" s="1" t="s">
        <v>118</v>
      </c>
    </row>
    <row r="20" spans="1:13" x14ac:dyDescent="0.2">
      <c r="A20" s="1">
        <v>10</v>
      </c>
      <c r="B20" s="1" t="s">
        <v>588</v>
      </c>
      <c r="E20" s="4">
        <v>1</v>
      </c>
      <c r="F20" t="s">
        <v>48</v>
      </c>
      <c r="H20" t="s">
        <v>601</v>
      </c>
      <c r="I20" s="1" t="s">
        <v>118</v>
      </c>
    </row>
    <row r="21" spans="1:13" x14ac:dyDescent="0.2">
      <c r="A21" s="1"/>
      <c r="B21" s="1" t="s">
        <v>589</v>
      </c>
      <c r="E21" s="4">
        <v>1</v>
      </c>
      <c r="F21" t="s">
        <v>48</v>
      </c>
      <c r="H21" t="s">
        <v>602</v>
      </c>
      <c r="I21" s="1" t="s">
        <v>118</v>
      </c>
    </row>
    <row r="22" spans="1:13" x14ac:dyDescent="0.2">
      <c r="A22" s="1"/>
      <c r="B22" s="1" t="s">
        <v>606</v>
      </c>
      <c r="E22" s="4">
        <v>1</v>
      </c>
      <c r="F22" t="s">
        <v>48</v>
      </c>
      <c r="H22" t="s">
        <v>607</v>
      </c>
      <c r="I22" s="1" t="s">
        <v>118</v>
      </c>
      <c r="L22" t="s">
        <v>712</v>
      </c>
      <c r="M22" t="s">
        <v>694</v>
      </c>
    </row>
    <row r="23" spans="1:13" x14ac:dyDescent="0.2">
      <c r="A23" s="1"/>
      <c r="B23" s="1" t="s">
        <v>608</v>
      </c>
      <c r="E23" s="4">
        <v>1</v>
      </c>
      <c r="F23" t="s">
        <v>48</v>
      </c>
      <c r="H23" t="s">
        <v>607</v>
      </c>
      <c r="I23" s="1" t="s">
        <v>118</v>
      </c>
    </row>
    <row r="24" spans="1:13" ht="20" x14ac:dyDescent="0.2">
      <c r="A24" s="22"/>
      <c r="B24" s="22" t="s">
        <v>918</v>
      </c>
      <c r="C24" s="15"/>
      <c r="D24" s="15"/>
      <c r="E24" s="37">
        <v>1</v>
      </c>
      <c r="F24" s="15" t="s">
        <v>686</v>
      </c>
      <c r="G24" s="15"/>
      <c r="H24" s="38" t="s">
        <v>707</v>
      </c>
      <c r="I24" s="22" t="s">
        <v>118</v>
      </c>
      <c r="L24" s="15" t="str">
        <f t="shared" ref="L24:L29" si="0">CONCATENATE("resources/images/",B24)</f>
        <v>resources/images/resources/images/Andrena thaspii, f, left, Washington Co., VA_2018-05-29-15.16.jpg</v>
      </c>
      <c r="M24" t="str">
        <f>CONCATENATE("USGS image: ",H24)</f>
        <v>USGS image: USGS image: Andrena thaspii, f, left, Washington Co., VA_2018-05-29-15.16</v>
      </c>
    </row>
    <row r="25" spans="1:13" ht="20" x14ac:dyDescent="0.2">
      <c r="A25" s="22"/>
      <c r="B25" s="22" t="s">
        <v>919</v>
      </c>
      <c r="C25" s="15"/>
      <c r="D25" s="15"/>
      <c r="E25" s="37">
        <v>1</v>
      </c>
      <c r="F25" s="15" t="s">
        <v>686</v>
      </c>
      <c r="G25" s="15"/>
      <c r="H25" s="38" t="s">
        <v>708</v>
      </c>
      <c r="I25" s="22" t="s">
        <v>118</v>
      </c>
      <c r="L25" s="15" t="str">
        <f t="shared" si="0"/>
        <v>resources/images/resources/images/Andrena thaspii, f, back, Washington Co., VA_2018-05-29-15.04.jpg</v>
      </c>
      <c r="M25" t="str">
        <f>CONCATENATE("USGS image: ",H25)</f>
        <v>USGS image: USGS image: Andrena thaspii, f, back, Washington Co., VA_2018-05-29-15.04</v>
      </c>
    </row>
    <row r="26" spans="1:13" ht="20" x14ac:dyDescent="0.2">
      <c r="A26" s="22"/>
      <c r="B26" s="22" t="s">
        <v>920</v>
      </c>
      <c r="C26" s="15"/>
      <c r="D26" s="15"/>
      <c r="E26" s="37">
        <v>1</v>
      </c>
      <c r="F26" s="15" t="s">
        <v>686</v>
      </c>
      <c r="G26" s="15"/>
      <c r="H26" s="38" t="s">
        <v>709</v>
      </c>
      <c r="I26" s="22" t="s">
        <v>118</v>
      </c>
      <c r="L26" s="15" t="str">
        <f t="shared" si="0"/>
        <v>resources/images/resources/images/Andrena thaspii, f, face, Washington Co., VA_2018-05-29-15.11.jpg</v>
      </c>
      <c r="M26" t="str">
        <f>CONCATENATE("USGS image: ",H26)</f>
        <v>USGS image: USGS image: Andrena thaspii, f, face, Washington Co., VA_2018-05-29-15.11</v>
      </c>
    </row>
    <row r="27" spans="1:13" ht="20" x14ac:dyDescent="0.2">
      <c r="A27" s="22" t="s">
        <v>921</v>
      </c>
      <c r="B27" s="22" t="s">
        <v>922</v>
      </c>
      <c r="C27" s="15"/>
      <c r="D27" s="15"/>
      <c r="E27" s="37">
        <v>1</v>
      </c>
      <c r="F27" s="15" t="s">
        <v>686</v>
      </c>
      <c r="G27" s="15"/>
      <c r="H27" s="38" t="s">
        <v>710</v>
      </c>
      <c r="I27" s="22" t="s">
        <v>118</v>
      </c>
      <c r="L27" s="15" t="str">
        <f t="shared" si="0"/>
        <v>resources/images/resources/images/Andrena macoupinensis, f, left, Morgantown WV_2019-03-22-00.51.40.jpg</v>
      </c>
      <c r="M27" t="str">
        <f>CONCATENATE("USGS image: ",H27)</f>
        <v>USGS image: USGS image: Andrena macoupinensis, f, left, Morgantown WV_2019-03-22-00.51.40</v>
      </c>
    </row>
    <row r="28" spans="1:13" ht="20" x14ac:dyDescent="0.2">
      <c r="A28" s="1" t="s">
        <v>921</v>
      </c>
      <c r="B28" s="36" t="s">
        <v>826</v>
      </c>
      <c r="E28" s="37">
        <v>1</v>
      </c>
      <c r="F28" s="15" t="s">
        <v>686</v>
      </c>
      <c r="H28" s="36" t="s">
        <v>711</v>
      </c>
      <c r="I28" s="22" t="s">
        <v>118</v>
      </c>
      <c r="L28" s="15" t="str">
        <f t="shared" si="0"/>
        <v>resources/images/resources/images/Andrena macoupinensis, f, face, Morgantown WV_2019-03-22-00.58.20.jpg</v>
      </c>
      <c r="M28" t="str">
        <f>CONCATENATE("USGS image: ",H28)</f>
        <v>USGS image: USGS image: Andrena macoupinensis, f, face, Morgantown WV_2019-03-22-00.58.20</v>
      </c>
    </row>
    <row r="29" spans="1:13" ht="20" x14ac:dyDescent="0.2">
      <c r="A29" s="1" t="s">
        <v>921</v>
      </c>
      <c r="B29" s="36" t="s">
        <v>958</v>
      </c>
      <c r="E29" s="37">
        <v>2</v>
      </c>
      <c r="F29" s="15" t="s">
        <v>686</v>
      </c>
      <c r="H29" s="36" t="s">
        <v>923</v>
      </c>
      <c r="I29" s="22" t="s">
        <v>118</v>
      </c>
      <c r="L29" s="15" t="str">
        <f t="shared" si="0"/>
        <v>resources/images/#resources/images/Andrena macoupinensis, f, back, Prince George's Co. Maryland_2019-12-16-19.37.25.jpg</v>
      </c>
    </row>
    <row r="30" spans="1:13" ht="24" x14ac:dyDescent="0.3">
      <c r="A30" s="1">
        <v>13</v>
      </c>
      <c r="B30" s="40" t="s">
        <v>540</v>
      </c>
      <c r="E30" s="4"/>
      <c r="I30" s="1"/>
    </row>
    <row r="31" spans="1:13" x14ac:dyDescent="0.2">
      <c r="A31" s="1"/>
      <c r="B31" s="1" t="s">
        <v>538</v>
      </c>
      <c r="E31" s="4">
        <v>1</v>
      </c>
      <c r="F31" t="s">
        <v>111</v>
      </c>
      <c r="I31" t="s">
        <v>119</v>
      </c>
    </row>
    <row r="32" spans="1:13" x14ac:dyDescent="0.2">
      <c r="A32" s="1">
        <v>14</v>
      </c>
      <c r="B32" s="1" t="s">
        <v>590</v>
      </c>
      <c r="E32" s="4">
        <v>1</v>
      </c>
      <c r="F32" t="s">
        <v>48</v>
      </c>
      <c r="H32" t="s">
        <v>603</v>
      </c>
      <c r="I32" t="s">
        <v>119</v>
      </c>
    </row>
    <row r="33" spans="1:12" x14ac:dyDescent="0.2">
      <c r="A33" s="1">
        <v>15</v>
      </c>
      <c r="B33" s="1" t="s">
        <v>591</v>
      </c>
      <c r="E33" s="4">
        <v>1</v>
      </c>
      <c r="F33" t="s">
        <v>48</v>
      </c>
      <c r="H33" t="s">
        <v>604</v>
      </c>
      <c r="I33" t="s">
        <v>119</v>
      </c>
    </row>
    <row r="34" spans="1:12" ht="20" x14ac:dyDescent="0.2">
      <c r="A34" s="1"/>
      <c r="B34" s="36" t="s">
        <v>839</v>
      </c>
      <c r="E34" s="4">
        <v>1</v>
      </c>
      <c r="F34" s="15" t="s">
        <v>686</v>
      </c>
      <c r="H34" t="s">
        <v>830</v>
      </c>
      <c r="I34" t="s">
        <v>119</v>
      </c>
      <c r="L34" s="15" t="str">
        <f>CONCATENATE("resources/images/",B34)</f>
        <v>resources/images/resources/images/Andrena helianthi, U, side, Connecticut, New Haven County_2012-12-14-14.15.24.jpg</v>
      </c>
    </row>
    <row r="35" spans="1:12" ht="20" x14ac:dyDescent="0.2">
      <c r="A35" s="1"/>
      <c r="B35" s="36" t="s">
        <v>840</v>
      </c>
      <c r="E35" s="4">
        <v>1</v>
      </c>
      <c r="F35" s="15" t="s">
        <v>686</v>
      </c>
      <c r="H35" t="s">
        <v>831</v>
      </c>
      <c r="I35" t="s">
        <v>119</v>
      </c>
      <c r="L35" s="15" t="str">
        <f>CONCATENATE("resources/images/",B35)</f>
        <v>resources/images/resources/images/Andrena helianthi, u, back, Hartville Ohio_2018-03-06-20.23.jpg</v>
      </c>
    </row>
    <row r="36" spans="1:12" ht="20" x14ac:dyDescent="0.2">
      <c r="A36" s="1"/>
      <c r="B36" s="36" t="s">
        <v>60</v>
      </c>
      <c r="E36" s="4"/>
    </row>
    <row r="37" spans="1:12" ht="20" x14ac:dyDescent="0.2">
      <c r="A37" s="1"/>
      <c r="B37" s="36" t="s">
        <v>60</v>
      </c>
      <c r="E37" s="4"/>
    </row>
    <row r="38" spans="1:12" x14ac:dyDescent="0.2">
      <c r="A38" s="1">
        <v>16</v>
      </c>
      <c r="B38" s="1" t="s">
        <v>60</v>
      </c>
      <c r="E38" s="4"/>
    </row>
    <row r="39" spans="1:12" ht="24" x14ac:dyDescent="0.3">
      <c r="A39" s="1"/>
      <c r="B39" s="40" t="s">
        <v>541</v>
      </c>
      <c r="E39" s="4"/>
    </row>
    <row r="40" spans="1:12" x14ac:dyDescent="0.2">
      <c r="A40" s="1">
        <v>17</v>
      </c>
      <c r="B40" s="1" t="s">
        <v>539</v>
      </c>
      <c r="E40" s="4">
        <v>1</v>
      </c>
      <c r="F40" t="s">
        <v>111</v>
      </c>
      <c r="I40" t="s">
        <v>120</v>
      </c>
    </row>
    <row r="41" spans="1:12" x14ac:dyDescent="0.2">
      <c r="A41" s="1">
        <v>18</v>
      </c>
      <c r="B41" s="1" t="s">
        <v>597</v>
      </c>
      <c r="E41" s="4">
        <v>1</v>
      </c>
      <c r="F41" t="s">
        <v>48</v>
      </c>
      <c r="H41" t="s">
        <v>605</v>
      </c>
      <c r="I41" t="s">
        <v>120</v>
      </c>
    </row>
    <row r="42" spans="1:12" x14ac:dyDescent="0.2">
      <c r="A42" s="1">
        <v>19</v>
      </c>
      <c r="B42" s="1" t="s">
        <v>60</v>
      </c>
      <c r="E42" s="4"/>
    </row>
    <row r="43" spans="1:12" ht="24" x14ac:dyDescent="0.3">
      <c r="A43" s="1">
        <v>20</v>
      </c>
      <c r="B43" s="40" t="s">
        <v>542</v>
      </c>
      <c r="E43" s="4"/>
    </row>
    <row r="44" spans="1:12" x14ac:dyDescent="0.2">
      <c r="A44" s="1">
        <v>21</v>
      </c>
      <c r="B44" s="1" t="s">
        <v>543</v>
      </c>
      <c r="E44" s="4">
        <v>1</v>
      </c>
      <c r="F44" t="s">
        <v>111</v>
      </c>
      <c r="I44" t="s">
        <v>122</v>
      </c>
    </row>
    <row r="45" spans="1:12" x14ac:dyDescent="0.2">
      <c r="A45" s="1"/>
      <c r="B45" s="1" t="s">
        <v>838</v>
      </c>
      <c r="E45" s="4">
        <v>1</v>
      </c>
      <c r="F45" t="s">
        <v>48</v>
      </c>
      <c r="H45" s="1" t="s">
        <v>837</v>
      </c>
      <c r="I45" t="s">
        <v>122</v>
      </c>
    </row>
    <row r="46" spans="1:12" x14ac:dyDescent="0.2">
      <c r="A46" s="1">
        <v>22</v>
      </c>
      <c r="B46" s="1" t="s">
        <v>836</v>
      </c>
      <c r="E46" s="4">
        <v>1</v>
      </c>
      <c r="F46" t="s">
        <v>48</v>
      </c>
      <c r="H46" s="1" t="s">
        <v>837</v>
      </c>
      <c r="I46" t="s">
        <v>122</v>
      </c>
    </row>
    <row r="47" spans="1:12" x14ac:dyDescent="0.2">
      <c r="A47" s="1">
        <v>23</v>
      </c>
      <c r="B47" s="1" t="s">
        <v>841</v>
      </c>
      <c r="E47" s="4">
        <v>1</v>
      </c>
      <c r="F47" t="s">
        <v>48</v>
      </c>
      <c r="H47" s="1" t="s">
        <v>837</v>
      </c>
      <c r="I47" t="s">
        <v>122</v>
      </c>
    </row>
    <row r="48" spans="1:12" x14ac:dyDescent="0.2">
      <c r="A48" s="1"/>
      <c r="B48" s="1" t="s">
        <v>842</v>
      </c>
      <c r="E48" s="4">
        <v>1</v>
      </c>
      <c r="F48" t="s">
        <v>48</v>
      </c>
      <c r="H48" t="s">
        <v>843</v>
      </c>
      <c r="I48" t="s">
        <v>122</v>
      </c>
    </row>
    <row r="49" spans="1:9" x14ac:dyDescent="0.2">
      <c r="A49" s="1"/>
      <c r="B49" s="1" t="s">
        <v>844</v>
      </c>
      <c r="E49" s="4">
        <v>1</v>
      </c>
      <c r="F49" t="s">
        <v>48</v>
      </c>
      <c r="H49" t="s">
        <v>843</v>
      </c>
      <c r="I49" t="s">
        <v>122</v>
      </c>
    </row>
    <row r="50" spans="1:9" ht="24" x14ac:dyDescent="0.3">
      <c r="A50" s="1">
        <v>27</v>
      </c>
      <c r="B50" s="40" t="s">
        <v>546</v>
      </c>
      <c r="E50" s="4"/>
    </row>
    <row r="51" spans="1:9" x14ac:dyDescent="0.2">
      <c r="A51" s="1">
        <v>28</v>
      </c>
      <c r="B51" s="1" t="s">
        <v>547</v>
      </c>
      <c r="E51" s="4">
        <v>1</v>
      </c>
      <c r="F51" t="s">
        <v>111</v>
      </c>
      <c r="I51" t="s">
        <v>129</v>
      </c>
    </row>
    <row r="52" spans="1:9" x14ac:dyDescent="0.2">
      <c r="A52" s="1">
        <v>29</v>
      </c>
      <c r="B52" s="1" t="s">
        <v>899</v>
      </c>
      <c r="E52" s="4">
        <v>1</v>
      </c>
      <c r="F52" t="s">
        <v>48</v>
      </c>
      <c r="H52" t="s">
        <v>900</v>
      </c>
      <c r="I52" t="s">
        <v>129</v>
      </c>
    </row>
    <row r="53" spans="1:9" x14ac:dyDescent="0.2">
      <c r="A53" s="1"/>
      <c r="B53" s="1" t="s">
        <v>901</v>
      </c>
      <c r="E53" s="4">
        <v>2</v>
      </c>
      <c r="F53" t="s">
        <v>48</v>
      </c>
      <c r="H53" t="s">
        <v>902</v>
      </c>
      <c r="I53" t="s">
        <v>129</v>
      </c>
    </row>
    <row r="54" spans="1:9" ht="24" x14ac:dyDescent="0.3">
      <c r="A54" s="1">
        <v>30</v>
      </c>
      <c r="B54" s="41" t="s">
        <v>566</v>
      </c>
      <c r="E54" s="4"/>
    </row>
    <row r="55" spans="1:9" x14ac:dyDescent="0.2">
      <c r="A55" s="1">
        <v>31</v>
      </c>
      <c r="B55" s="1" t="s">
        <v>565</v>
      </c>
      <c r="E55" s="4">
        <v>1</v>
      </c>
      <c r="F55" t="s">
        <v>111</v>
      </c>
      <c r="I55" t="s">
        <v>77</v>
      </c>
    </row>
    <row r="56" spans="1:9" x14ac:dyDescent="0.2">
      <c r="A56" s="1"/>
      <c r="B56" s="1" t="s">
        <v>655</v>
      </c>
      <c r="E56" s="4">
        <v>1</v>
      </c>
      <c r="F56" t="s">
        <v>48</v>
      </c>
      <c r="H56" t="s">
        <v>657</v>
      </c>
      <c r="I56" t="s">
        <v>77</v>
      </c>
    </row>
    <row r="57" spans="1:9" x14ac:dyDescent="0.2">
      <c r="A57" s="1"/>
      <c r="B57" s="1" t="s">
        <v>656</v>
      </c>
      <c r="E57" s="4">
        <v>1</v>
      </c>
      <c r="F57" t="s">
        <v>48</v>
      </c>
      <c r="H57" t="s">
        <v>657</v>
      </c>
      <c r="I57" t="s">
        <v>77</v>
      </c>
    </row>
    <row r="58" spans="1:9" x14ac:dyDescent="0.2">
      <c r="A58" s="1">
        <v>32</v>
      </c>
      <c r="B58" s="1" t="s">
        <v>60</v>
      </c>
      <c r="E58" s="4"/>
    </row>
    <row r="59" spans="1:9" ht="24" x14ac:dyDescent="0.3">
      <c r="A59" s="1">
        <v>33</v>
      </c>
      <c r="B59" s="41" t="s">
        <v>555</v>
      </c>
      <c r="E59" s="4"/>
    </row>
    <row r="60" spans="1:9" x14ac:dyDescent="0.2">
      <c r="A60" s="1"/>
      <c r="B60" s="1" t="s">
        <v>549</v>
      </c>
      <c r="E60" s="4">
        <v>1</v>
      </c>
      <c r="F60" t="s">
        <v>111</v>
      </c>
      <c r="I60" t="s">
        <v>508</v>
      </c>
    </row>
    <row r="61" spans="1:9" x14ac:dyDescent="0.2">
      <c r="A61" s="1"/>
      <c r="B61" s="1" t="s">
        <v>593</v>
      </c>
      <c r="E61" s="4">
        <v>1</v>
      </c>
      <c r="F61" t="s">
        <v>48</v>
      </c>
      <c r="H61" t="s">
        <v>595</v>
      </c>
      <c r="I61" t="s">
        <v>508</v>
      </c>
    </row>
    <row r="62" spans="1:9" x14ac:dyDescent="0.2">
      <c r="A62" s="1"/>
      <c r="B62" s="1" t="s">
        <v>592</v>
      </c>
      <c r="E62" s="4">
        <v>1</v>
      </c>
      <c r="F62" t="s">
        <v>48</v>
      </c>
      <c r="H62" t="s">
        <v>595</v>
      </c>
      <c r="I62" t="s">
        <v>508</v>
      </c>
    </row>
    <row r="63" spans="1:9" x14ac:dyDescent="0.2">
      <c r="A63" s="1">
        <v>34</v>
      </c>
      <c r="B63" s="1" t="s">
        <v>592</v>
      </c>
      <c r="E63" s="4">
        <v>1</v>
      </c>
      <c r="F63" t="s">
        <v>48</v>
      </c>
      <c r="H63" t="s">
        <v>595</v>
      </c>
      <c r="I63" t="s">
        <v>508</v>
      </c>
    </row>
    <row r="64" spans="1:9" x14ac:dyDescent="0.2">
      <c r="A64" s="1">
        <v>35</v>
      </c>
      <c r="B64" s="1" t="s">
        <v>594</v>
      </c>
      <c r="E64" s="4">
        <v>1</v>
      </c>
      <c r="F64" t="s">
        <v>48</v>
      </c>
      <c r="H64" t="s">
        <v>596</v>
      </c>
      <c r="I64" t="s">
        <v>508</v>
      </c>
    </row>
    <row r="65" spans="1:9" ht="24" x14ac:dyDescent="0.3">
      <c r="A65" s="1">
        <v>36</v>
      </c>
      <c r="B65" s="40" t="s">
        <v>567</v>
      </c>
      <c r="E65" s="4"/>
    </row>
    <row r="66" spans="1:9" x14ac:dyDescent="0.2">
      <c r="A66" s="1">
        <v>37</v>
      </c>
      <c r="B66" s="1" t="s">
        <v>550</v>
      </c>
      <c r="E66" s="4">
        <v>1</v>
      </c>
      <c r="F66" t="s">
        <v>111</v>
      </c>
      <c r="I66" t="s">
        <v>121</v>
      </c>
    </row>
    <row r="67" spans="1:9" x14ac:dyDescent="0.2">
      <c r="A67" s="1">
        <v>38</v>
      </c>
      <c r="B67" s="1" t="s">
        <v>891</v>
      </c>
      <c r="E67" s="4">
        <v>1</v>
      </c>
      <c r="F67" t="s">
        <v>48</v>
      </c>
      <c r="H67" t="s">
        <v>892</v>
      </c>
      <c r="I67" t="s">
        <v>121</v>
      </c>
    </row>
    <row r="68" spans="1:9" x14ac:dyDescent="0.2">
      <c r="A68" s="1">
        <v>41</v>
      </c>
      <c r="B68" s="1" t="s">
        <v>60</v>
      </c>
      <c r="E68" s="4"/>
    </row>
    <row r="69" spans="1:9" ht="24" x14ac:dyDescent="0.3">
      <c r="A69" s="1">
        <v>42</v>
      </c>
      <c r="B69" s="40" t="s">
        <v>568</v>
      </c>
      <c r="E69" s="4"/>
    </row>
    <row r="70" spans="1:9" x14ac:dyDescent="0.2">
      <c r="A70" s="1">
        <v>43</v>
      </c>
      <c r="B70" s="1" t="s">
        <v>552</v>
      </c>
      <c r="E70" s="4">
        <v>1</v>
      </c>
      <c r="F70" t="s">
        <v>111</v>
      </c>
      <c r="I70" t="s">
        <v>123</v>
      </c>
    </row>
    <row r="71" spans="1:9" x14ac:dyDescent="0.2">
      <c r="A71" s="1">
        <v>44</v>
      </c>
      <c r="B71" s="1" t="s">
        <v>903</v>
      </c>
      <c r="E71" s="4">
        <v>1</v>
      </c>
      <c r="F71" t="s">
        <v>48</v>
      </c>
      <c r="H71" t="s">
        <v>904</v>
      </c>
      <c r="I71" t="s">
        <v>123</v>
      </c>
    </row>
    <row r="72" spans="1:9" ht="24" x14ac:dyDescent="0.3">
      <c r="A72" s="1">
        <v>45</v>
      </c>
      <c r="B72" s="40" t="s">
        <v>569</v>
      </c>
      <c r="E72" s="4"/>
    </row>
    <row r="73" spans="1:9" x14ac:dyDescent="0.2">
      <c r="A73" s="1">
        <v>46</v>
      </c>
      <c r="B73" s="1" t="s">
        <v>553</v>
      </c>
      <c r="E73" s="4">
        <v>1</v>
      </c>
      <c r="F73" t="s">
        <v>111</v>
      </c>
      <c r="I73" t="s">
        <v>125</v>
      </c>
    </row>
    <row r="74" spans="1:9" x14ac:dyDescent="0.2">
      <c r="A74" s="1">
        <v>47</v>
      </c>
      <c r="B74" s="1" t="s">
        <v>889</v>
      </c>
      <c r="E74" s="4">
        <v>1</v>
      </c>
      <c r="F74" t="s">
        <v>48</v>
      </c>
      <c r="H74" t="s">
        <v>890</v>
      </c>
      <c r="I74" t="s">
        <v>125</v>
      </c>
    </row>
    <row r="75" spans="1:9" ht="24" x14ac:dyDescent="0.3">
      <c r="A75" s="1">
        <v>48</v>
      </c>
      <c r="B75" s="40" t="s">
        <v>570</v>
      </c>
      <c r="E75" s="4"/>
    </row>
    <row r="76" spans="1:9" x14ac:dyDescent="0.2">
      <c r="A76" s="1">
        <v>49</v>
      </c>
      <c r="B76" s="1" t="s">
        <v>551</v>
      </c>
      <c r="E76" s="4">
        <v>1</v>
      </c>
      <c r="F76" t="s">
        <v>111</v>
      </c>
      <c r="I76" t="s">
        <v>75</v>
      </c>
    </row>
    <row r="77" spans="1:9" x14ac:dyDescent="0.2">
      <c r="A77" s="1" t="s">
        <v>60</v>
      </c>
      <c r="B77" s="1" t="s">
        <v>660</v>
      </c>
      <c r="E77" s="4">
        <v>1</v>
      </c>
      <c r="F77" t="s">
        <v>48</v>
      </c>
      <c r="H77" t="s">
        <v>645</v>
      </c>
      <c r="I77" t="s">
        <v>75</v>
      </c>
    </row>
    <row r="78" spans="1:9" x14ac:dyDescent="0.2">
      <c r="A78" s="1"/>
      <c r="B78" s="1" t="s">
        <v>979</v>
      </c>
      <c r="E78" s="4">
        <v>1</v>
      </c>
      <c r="F78" t="s">
        <v>48</v>
      </c>
      <c r="G78">
        <v>1</v>
      </c>
      <c r="H78" t="s">
        <v>985</v>
      </c>
      <c r="I78" t="s">
        <v>75</v>
      </c>
    </row>
    <row r="79" spans="1:9" x14ac:dyDescent="0.2">
      <c r="A79" s="1"/>
      <c r="B79" s="1" t="s">
        <v>980</v>
      </c>
      <c r="E79" s="4">
        <v>1</v>
      </c>
      <c r="F79" t="s">
        <v>48</v>
      </c>
      <c r="G79">
        <v>2</v>
      </c>
      <c r="H79" t="s">
        <v>985</v>
      </c>
      <c r="I79" t="s">
        <v>75</v>
      </c>
    </row>
    <row r="80" spans="1:9" x14ac:dyDescent="0.2">
      <c r="A80" s="1"/>
      <c r="B80" s="1" t="s">
        <v>981</v>
      </c>
      <c r="E80" s="4">
        <v>1</v>
      </c>
      <c r="F80" t="s">
        <v>48</v>
      </c>
      <c r="G80">
        <v>3</v>
      </c>
      <c r="H80" t="s">
        <v>985</v>
      </c>
      <c r="I80" t="s">
        <v>75</v>
      </c>
    </row>
    <row r="81" spans="1:9" x14ac:dyDescent="0.2">
      <c r="A81" s="1"/>
      <c r="B81" s="1" t="s">
        <v>982</v>
      </c>
      <c r="E81" s="4">
        <v>1</v>
      </c>
      <c r="F81" t="s">
        <v>48</v>
      </c>
      <c r="G81">
        <v>4</v>
      </c>
      <c r="H81" t="s">
        <v>986</v>
      </c>
      <c r="I81" t="s">
        <v>75</v>
      </c>
    </row>
    <row r="82" spans="1:9" x14ac:dyDescent="0.2">
      <c r="A82" s="1"/>
      <c r="B82" s="1" t="s">
        <v>983</v>
      </c>
      <c r="E82" s="4">
        <v>1</v>
      </c>
      <c r="F82" t="s">
        <v>48</v>
      </c>
      <c r="G82">
        <v>5</v>
      </c>
      <c r="H82" t="s">
        <v>986</v>
      </c>
      <c r="I82" t="s">
        <v>75</v>
      </c>
    </row>
    <row r="83" spans="1:9" x14ac:dyDescent="0.2">
      <c r="A83" s="1"/>
      <c r="B83" s="1" t="s">
        <v>984</v>
      </c>
      <c r="E83" s="4">
        <v>1</v>
      </c>
      <c r="F83" t="s">
        <v>48</v>
      </c>
      <c r="G83">
        <v>6</v>
      </c>
      <c r="H83" t="s">
        <v>986</v>
      </c>
      <c r="I83" t="s">
        <v>75</v>
      </c>
    </row>
    <row r="84" spans="1:9" x14ac:dyDescent="0.2">
      <c r="A84" s="1">
        <v>50</v>
      </c>
      <c r="B84" s="1" t="s">
        <v>845</v>
      </c>
      <c r="E84" s="4">
        <v>1</v>
      </c>
      <c r="F84" t="s">
        <v>48</v>
      </c>
      <c r="H84" t="s">
        <v>846</v>
      </c>
      <c r="I84" t="s">
        <v>75</v>
      </c>
    </row>
    <row r="85" spans="1:9" x14ac:dyDescent="0.2">
      <c r="A85" s="1"/>
      <c r="B85" s="1" t="s">
        <v>847</v>
      </c>
      <c r="E85" s="4">
        <v>1</v>
      </c>
      <c r="F85" t="s">
        <v>48</v>
      </c>
      <c r="H85" s="1" t="s">
        <v>848</v>
      </c>
      <c r="I85" t="s">
        <v>75</v>
      </c>
    </row>
    <row r="86" spans="1:9" x14ac:dyDescent="0.2">
      <c r="A86" s="1"/>
      <c r="B86" s="1" t="s">
        <v>849</v>
      </c>
      <c r="E86" s="4">
        <v>1</v>
      </c>
      <c r="F86" t="s">
        <v>48</v>
      </c>
      <c r="H86" s="1" t="s">
        <v>848</v>
      </c>
      <c r="I86" t="s">
        <v>75</v>
      </c>
    </row>
    <row r="87" spans="1:9" x14ac:dyDescent="0.2">
      <c r="A87" s="1"/>
      <c r="B87" s="1" t="s">
        <v>850</v>
      </c>
      <c r="E87" s="4">
        <v>1</v>
      </c>
      <c r="F87" t="s">
        <v>48</v>
      </c>
      <c r="H87" s="1" t="s">
        <v>848</v>
      </c>
      <c r="I87" t="s">
        <v>75</v>
      </c>
    </row>
    <row r="88" spans="1:9" x14ac:dyDescent="0.2">
      <c r="A88" s="1"/>
      <c r="B88" s="1" t="s">
        <v>851</v>
      </c>
      <c r="E88" s="4">
        <v>1</v>
      </c>
      <c r="F88" t="s">
        <v>48</v>
      </c>
      <c r="H88" t="s">
        <v>852</v>
      </c>
      <c r="I88" t="s">
        <v>75</v>
      </c>
    </row>
    <row r="89" spans="1:9" x14ac:dyDescent="0.2">
      <c r="A89" s="1"/>
      <c r="B89" s="1" t="s">
        <v>853</v>
      </c>
      <c r="E89" s="4">
        <v>1</v>
      </c>
      <c r="F89" t="s">
        <v>48</v>
      </c>
      <c r="H89" t="s">
        <v>852</v>
      </c>
      <c r="I89" t="s">
        <v>75</v>
      </c>
    </row>
    <row r="90" spans="1:9" x14ac:dyDescent="0.2">
      <c r="A90" s="1"/>
      <c r="B90" s="1" t="s">
        <v>854</v>
      </c>
      <c r="E90" s="4">
        <v>1</v>
      </c>
      <c r="F90" t="s">
        <v>48</v>
      </c>
      <c r="H90" t="s">
        <v>852</v>
      </c>
      <c r="I90" t="s">
        <v>75</v>
      </c>
    </row>
    <row r="91" spans="1:9" x14ac:dyDescent="0.2">
      <c r="A91" s="1"/>
      <c r="B91" s="1" t="s">
        <v>858</v>
      </c>
      <c r="E91" s="4">
        <v>1</v>
      </c>
      <c r="F91" t="s">
        <v>48</v>
      </c>
      <c r="H91" t="s">
        <v>857</v>
      </c>
      <c r="I91" t="s">
        <v>75</v>
      </c>
    </row>
    <row r="92" spans="1:9" x14ac:dyDescent="0.2">
      <c r="A92" s="1"/>
      <c r="B92" s="1" t="s">
        <v>855</v>
      </c>
      <c r="E92" s="4">
        <v>1</v>
      </c>
      <c r="F92" t="s">
        <v>48</v>
      </c>
      <c r="H92" t="s">
        <v>857</v>
      </c>
      <c r="I92" t="s">
        <v>75</v>
      </c>
    </row>
    <row r="93" spans="1:9" x14ac:dyDescent="0.2">
      <c r="A93" s="1"/>
      <c r="B93" t="s">
        <v>856</v>
      </c>
      <c r="E93" s="4">
        <v>1</v>
      </c>
      <c r="F93" t="s">
        <v>48</v>
      </c>
      <c r="H93" t="s">
        <v>857</v>
      </c>
      <c r="I93" t="s">
        <v>75</v>
      </c>
    </row>
    <row r="94" spans="1:9" x14ac:dyDescent="0.2">
      <c r="A94" s="1"/>
      <c r="B94" t="s">
        <v>859</v>
      </c>
      <c r="E94" s="4">
        <v>1</v>
      </c>
      <c r="F94" t="s">
        <v>48</v>
      </c>
      <c r="H94" t="s">
        <v>860</v>
      </c>
      <c r="I94" t="s">
        <v>75</v>
      </c>
    </row>
    <row r="95" spans="1:9" x14ac:dyDescent="0.2">
      <c r="A95" s="1"/>
      <c r="B95" t="s">
        <v>861</v>
      </c>
      <c r="E95" s="4">
        <v>1</v>
      </c>
      <c r="F95" t="s">
        <v>48</v>
      </c>
      <c r="H95" t="s">
        <v>860</v>
      </c>
      <c r="I95" t="s">
        <v>75</v>
      </c>
    </row>
    <row r="96" spans="1:9" x14ac:dyDescent="0.2">
      <c r="A96" s="1"/>
      <c r="B96" t="s">
        <v>862</v>
      </c>
      <c r="E96" s="4">
        <v>1</v>
      </c>
      <c r="F96" t="s">
        <v>48</v>
      </c>
      <c r="H96" t="s">
        <v>863</v>
      </c>
      <c r="I96" t="s">
        <v>75</v>
      </c>
    </row>
    <row r="97" spans="1:9" x14ac:dyDescent="0.2">
      <c r="A97" s="1"/>
      <c r="B97" t="s">
        <v>864</v>
      </c>
      <c r="E97" s="4">
        <v>1</v>
      </c>
      <c r="F97" t="s">
        <v>48</v>
      </c>
      <c r="H97" t="s">
        <v>863</v>
      </c>
      <c r="I97" t="s">
        <v>75</v>
      </c>
    </row>
    <row r="98" spans="1:9" x14ac:dyDescent="0.2">
      <c r="A98" s="1"/>
      <c r="B98" t="s">
        <v>865</v>
      </c>
      <c r="E98" s="4">
        <v>1</v>
      </c>
      <c r="F98" t="s">
        <v>48</v>
      </c>
      <c r="H98" t="s">
        <v>863</v>
      </c>
      <c r="I98" t="s">
        <v>75</v>
      </c>
    </row>
    <row r="99" spans="1:9" x14ac:dyDescent="0.2">
      <c r="A99" s="1"/>
      <c r="B99" t="s">
        <v>866</v>
      </c>
      <c r="E99" s="4">
        <v>1</v>
      </c>
      <c r="F99" t="s">
        <v>48</v>
      </c>
      <c r="H99" t="s">
        <v>863</v>
      </c>
      <c r="I99" t="s">
        <v>75</v>
      </c>
    </row>
    <row r="100" spans="1:9" ht="24" x14ac:dyDescent="0.3">
      <c r="A100" s="1"/>
      <c r="B100" s="40" t="s">
        <v>544</v>
      </c>
      <c r="E100" s="4"/>
    </row>
    <row r="101" spans="1:9" x14ac:dyDescent="0.2">
      <c r="B101" s="1" t="s">
        <v>545</v>
      </c>
      <c r="E101" s="4">
        <v>1</v>
      </c>
      <c r="F101" t="s">
        <v>111</v>
      </c>
      <c r="I101" t="s">
        <v>76</v>
      </c>
    </row>
    <row r="102" spans="1:9" x14ac:dyDescent="0.2">
      <c r="B102" s="1" t="s">
        <v>878</v>
      </c>
      <c r="E102" s="4">
        <v>1</v>
      </c>
      <c r="F102" t="s">
        <v>48</v>
      </c>
      <c r="H102" t="s">
        <v>879</v>
      </c>
      <c r="I102" t="s">
        <v>76</v>
      </c>
    </row>
    <row r="103" spans="1:9" x14ac:dyDescent="0.2">
      <c r="B103" s="1" t="s">
        <v>880</v>
      </c>
      <c r="E103" s="4">
        <v>1</v>
      </c>
      <c r="F103" t="s">
        <v>48</v>
      </c>
      <c r="H103" t="s">
        <v>881</v>
      </c>
      <c r="I103" t="s">
        <v>76</v>
      </c>
    </row>
    <row r="104" spans="1:9" x14ac:dyDescent="0.2">
      <c r="B104" s="1" t="s">
        <v>60</v>
      </c>
      <c r="E104" s="4"/>
    </row>
    <row r="105" spans="1:9" x14ac:dyDescent="0.2">
      <c r="B105" s="1" t="s">
        <v>60</v>
      </c>
      <c r="E105" s="4"/>
    </row>
    <row r="106" spans="1:9" ht="24" x14ac:dyDescent="0.3">
      <c r="B106" s="41" t="s">
        <v>556</v>
      </c>
    </row>
    <row r="107" spans="1:9" x14ac:dyDescent="0.2">
      <c r="B107" s="1" t="s">
        <v>571</v>
      </c>
      <c r="E107" s="4">
        <v>1</v>
      </c>
      <c r="F107" t="s">
        <v>111</v>
      </c>
      <c r="I107" t="s">
        <v>130</v>
      </c>
    </row>
    <row r="108" spans="1:9" x14ac:dyDescent="0.2">
      <c r="B108" s="1" t="s">
        <v>909</v>
      </c>
      <c r="E108" s="4">
        <v>1</v>
      </c>
      <c r="F108" t="s">
        <v>48</v>
      </c>
      <c r="H108" t="s">
        <v>912</v>
      </c>
      <c r="I108" t="s">
        <v>130</v>
      </c>
    </row>
    <row r="109" spans="1:9" x14ac:dyDescent="0.2">
      <c r="B109" s="1" t="s">
        <v>910</v>
      </c>
      <c r="E109" s="4">
        <v>1</v>
      </c>
      <c r="F109" t="s">
        <v>48</v>
      </c>
      <c r="H109" t="s">
        <v>912</v>
      </c>
      <c r="I109" t="s">
        <v>130</v>
      </c>
    </row>
    <row r="110" spans="1:9" x14ac:dyDescent="0.2">
      <c r="B110" s="1" t="s">
        <v>911</v>
      </c>
      <c r="E110" s="4">
        <v>1</v>
      </c>
      <c r="F110" t="s">
        <v>48</v>
      </c>
      <c r="H110" t="s">
        <v>912</v>
      </c>
      <c r="I110" t="s">
        <v>130</v>
      </c>
    </row>
    <row r="111" spans="1:9" ht="24" x14ac:dyDescent="0.3">
      <c r="B111" s="41" t="s">
        <v>557</v>
      </c>
      <c r="E111" s="4"/>
    </row>
    <row r="112" spans="1:9" x14ac:dyDescent="0.2">
      <c r="B112" s="1" t="s">
        <v>572</v>
      </c>
      <c r="E112" s="4">
        <v>1</v>
      </c>
      <c r="F112" t="s">
        <v>111</v>
      </c>
      <c r="I112" t="s">
        <v>131</v>
      </c>
    </row>
    <row r="113" spans="1:9" x14ac:dyDescent="0.2">
      <c r="A113" t="s">
        <v>60</v>
      </c>
      <c r="B113" s="1" t="s">
        <v>661</v>
      </c>
      <c r="E113" s="4">
        <v>1</v>
      </c>
      <c r="F113" t="s">
        <v>48</v>
      </c>
      <c r="H113" t="s">
        <v>649</v>
      </c>
      <c r="I113" t="s">
        <v>131</v>
      </c>
    </row>
    <row r="114" spans="1:9" x14ac:dyDescent="0.2">
      <c r="B114" s="1" t="s">
        <v>897</v>
      </c>
      <c r="E114" s="4">
        <v>1</v>
      </c>
      <c r="F114" t="s">
        <v>48</v>
      </c>
      <c r="H114" t="s">
        <v>898</v>
      </c>
      <c r="I114" t="s">
        <v>131</v>
      </c>
    </row>
    <row r="115" spans="1:9" ht="24" x14ac:dyDescent="0.3">
      <c r="B115" s="41" t="s">
        <v>558</v>
      </c>
      <c r="E115" s="4"/>
    </row>
    <row r="116" spans="1:9" x14ac:dyDescent="0.2">
      <c r="B116" s="1" t="s">
        <v>573</v>
      </c>
      <c r="E116" s="4">
        <v>1</v>
      </c>
      <c r="F116" t="s">
        <v>111</v>
      </c>
      <c r="I116" t="s">
        <v>134</v>
      </c>
    </row>
    <row r="117" spans="1:9" x14ac:dyDescent="0.2">
      <c r="B117" s="1" t="s">
        <v>905</v>
      </c>
      <c r="E117" s="4">
        <v>1</v>
      </c>
      <c r="F117" t="s">
        <v>48</v>
      </c>
      <c r="H117" t="s">
        <v>906</v>
      </c>
      <c r="I117" t="s">
        <v>134</v>
      </c>
    </row>
    <row r="118" spans="1:9" x14ac:dyDescent="0.2">
      <c r="B118" s="1" t="s">
        <v>907</v>
      </c>
      <c r="E118" s="4">
        <v>1</v>
      </c>
      <c r="F118" t="s">
        <v>48</v>
      </c>
      <c r="H118" t="s">
        <v>908</v>
      </c>
      <c r="I118" t="s">
        <v>134</v>
      </c>
    </row>
    <row r="119" spans="1:9" ht="24" x14ac:dyDescent="0.3">
      <c r="B119" s="41" t="s">
        <v>559</v>
      </c>
      <c r="E119" s="4"/>
    </row>
    <row r="120" spans="1:9" x14ac:dyDescent="0.2">
      <c r="B120" s="1" t="s">
        <v>574</v>
      </c>
      <c r="E120" s="4">
        <v>1</v>
      </c>
      <c r="F120" t="s">
        <v>111</v>
      </c>
      <c r="I120" t="s">
        <v>133</v>
      </c>
    </row>
    <row r="121" spans="1:9" x14ac:dyDescent="0.2">
      <c r="A121" t="s">
        <v>60</v>
      </c>
      <c r="B121" s="1" t="s">
        <v>662</v>
      </c>
      <c r="E121" s="4">
        <v>1</v>
      </c>
      <c r="F121" t="s">
        <v>48</v>
      </c>
      <c r="H121" t="s">
        <v>644</v>
      </c>
      <c r="I121" t="s">
        <v>133</v>
      </c>
    </row>
    <row r="122" spans="1:9" x14ac:dyDescent="0.2">
      <c r="B122" s="1" t="s">
        <v>887</v>
      </c>
      <c r="E122" s="4">
        <v>1</v>
      </c>
      <c r="F122" t="s">
        <v>48</v>
      </c>
      <c r="H122" t="s">
        <v>888</v>
      </c>
      <c r="I122" t="s">
        <v>133</v>
      </c>
    </row>
    <row r="123" spans="1:9" x14ac:dyDescent="0.2">
      <c r="B123" s="1" t="s">
        <v>60</v>
      </c>
      <c r="E123" s="4"/>
    </row>
    <row r="124" spans="1:9" ht="24" x14ac:dyDescent="0.3">
      <c r="B124" s="41" t="s">
        <v>560</v>
      </c>
      <c r="E124" s="4"/>
    </row>
    <row r="125" spans="1:9" x14ac:dyDescent="0.2">
      <c r="B125" s="1" t="s">
        <v>575</v>
      </c>
      <c r="E125" s="4">
        <v>1</v>
      </c>
      <c r="F125" t="s">
        <v>111</v>
      </c>
      <c r="I125" t="s">
        <v>78</v>
      </c>
    </row>
    <row r="126" spans="1:9" x14ac:dyDescent="0.2">
      <c r="B126" s="1" t="s">
        <v>987</v>
      </c>
      <c r="E126" s="4">
        <v>1</v>
      </c>
      <c r="F126" t="s">
        <v>111</v>
      </c>
      <c r="H126" t="s">
        <v>990</v>
      </c>
      <c r="I126" t="s">
        <v>78</v>
      </c>
    </row>
    <row r="127" spans="1:9" x14ac:dyDescent="0.2">
      <c r="B127" s="1" t="s">
        <v>988</v>
      </c>
      <c r="E127" s="4">
        <v>1</v>
      </c>
      <c r="F127" t="s">
        <v>111</v>
      </c>
      <c r="H127" t="s">
        <v>990</v>
      </c>
      <c r="I127" t="s">
        <v>78</v>
      </c>
    </row>
    <row r="128" spans="1:9" x14ac:dyDescent="0.2">
      <c r="B128" s="1" t="s">
        <v>989</v>
      </c>
      <c r="E128" s="4">
        <v>1</v>
      </c>
      <c r="F128" t="s">
        <v>111</v>
      </c>
      <c r="H128" t="s">
        <v>990</v>
      </c>
      <c r="I128" t="s">
        <v>78</v>
      </c>
    </row>
    <row r="129" spans="2:9" x14ac:dyDescent="0.2">
      <c r="B129" s="1" t="s">
        <v>867</v>
      </c>
      <c r="E129" s="4">
        <v>1</v>
      </c>
      <c r="F129" t="s">
        <v>48</v>
      </c>
      <c r="H129" t="s">
        <v>870</v>
      </c>
      <c r="I129" t="s">
        <v>78</v>
      </c>
    </row>
    <row r="130" spans="2:9" x14ac:dyDescent="0.2">
      <c r="B130" s="1" t="s">
        <v>868</v>
      </c>
      <c r="E130" s="4">
        <v>1</v>
      </c>
      <c r="F130" t="s">
        <v>48</v>
      </c>
      <c r="H130" t="s">
        <v>870</v>
      </c>
      <c r="I130" t="s">
        <v>78</v>
      </c>
    </row>
    <row r="131" spans="2:9" x14ac:dyDescent="0.2">
      <c r="B131" s="1" t="s">
        <v>869</v>
      </c>
      <c r="E131" s="4">
        <v>1</v>
      </c>
      <c r="F131" t="s">
        <v>48</v>
      </c>
      <c r="H131" t="s">
        <v>870</v>
      </c>
      <c r="I131" t="s">
        <v>78</v>
      </c>
    </row>
    <row r="132" spans="2:9" x14ac:dyDescent="0.2">
      <c r="B132" s="1" t="s">
        <v>871</v>
      </c>
      <c r="E132" s="4">
        <v>1</v>
      </c>
      <c r="F132" t="s">
        <v>48</v>
      </c>
      <c r="H132" s="1" t="s">
        <v>848</v>
      </c>
      <c r="I132" t="s">
        <v>78</v>
      </c>
    </row>
    <row r="133" spans="2:9" x14ac:dyDescent="0.2">
      <c r="B133" s="1" t="s">
        <v>872</v>
      </c>
      <c r="E133" s="4">
        <v>1</v>
      </c>
      <c r="F133" t="s">
        <v>48</v>
      </c>
      <c r="H133" s="1" t="s">
        <v>848</v>
      </c>
      <c r="I133" t="s">
        <v>78</v>
      </c>
    </row>
    <row r="134" spans="2:9" x14ac:dyDescent="0.2">
      <c r="B134" s="1" t="s">
        <v>873</v>
      </c>
      <c r="E134" s="4">
        <v>1</v>
      </c>
      <c r="F134" t="s">
        <v>48</v>
      </c>
      <c r="H134" s="1" t="s">
        <v>848</v>
      </c>
      <c r="I134" t="s">
        <v>78</v>
      </c>
    </row>
    <row r="135" spans="2:9" x14ac:dyDescent="0.2">
      <c r="B135" s="1" t="s">
        <v>874</v>
      </c>
      <c r="E135" s="4">
        <v>1</v>
      </c>
      <c r="F135" t="s">
        <v>48</v>
      </c>
      <c r="H135" t="s">
        <v>877</v>
      </c>
      <c r="I135" t="s">
        <v>78</v>
      </c>
    </row>
    <row r="136" spans="2:9" x14ac:dyDescent="0.2">
      <c r="B136" s="1" t="s">
        <v>875</v>
      </c>
      <c r="E136" s="4">
        <v>1</v>
      </c>
      <c r="F136" t="s">
        <v>48</v>
      </c>
      <c r="H136" t="s">
        <v>877</v>
      </c>
      <c r="I136" t="s">
        <v>78</v>
      </c>
    </row>
    <row r="137" spans="2:9" x14ac:dyDescent="0.2">
      <c r="B137" s="1" t="s">
        <v>876</v>
      </c>
      <c r="E137" s="4">
        <v>1</v>
      </c>
      <c r="F137" t="s">
        <v>48</v>
      </c>
      <c r="H137" t="s">
        <v>877</v>
      </c>
      <c r="I137" t="s">
        <v>78</v>
      </c>
    </row>
    <row r="138" spans="2:9" ht="24" x14ac:dyDescent="0.3">
      <c r="B138" s="41" t="s">
        <v>561</v>
      </c>
      <c r="E138" s="4"/>
    </row>
    <row r="139" spans="2:9" x14ac:dyDescent="0.2">
      <c r="B139" s="1" t="s">
        <v>576</v>
      </c>
      <c r="E139" s="4">
        <v>1</v>
      </c>
      <c r="F139" t="s">
        <v>111</v>
      </c>
      <c r="I139" t="s">
        <v>132</v>
      </c>
    </row>
    <row r="140" spans="2:9" x14ac:dyDescent="0.2">
      <c r="B140" s="1" t="s">
        <v>893</v>
      </c>
      <c r="E140" s="4">
        <v>1</v>
      </c>
      <c r="F140" t="s">
        <v>48</v>
      </c>
      <c r="H140" t="s">
        <v>894</v>
      </c>
      <c r="I140" t="s">
        <v>132</v>
      </c>
    </row>
    <row r="141" spans="2:9" x14ac:dyDescent="0.2">
      <c r="B141" s="1" t="s">
        <v>895</v>
      </c>
      <c r="E141" s="4">
        <v>2</v>
      </c>
      <c r="F141" t="s">
        <v>48</v>
      </c>
      <c r="H141" t="s">
        <v>896</v>
      </c>
      <c r="I141" t="s">
        <v>132</v>
      </c>
    </row>
    <row r="142" spans="2:9" ht="24" x14ac:dyDescent="0.3">
      <c r="B142" s="41" t="s">
        <v>562</v>
      </c>
    </row>
    <row r="143" spans="2:9" x14ac:dyDescent="0.2">
      <c r="B143" s="1" t="s">
        <v>577</v>
      </c>
      <c r="E143" s="4">
        <v>1</v>
      </c>
      <c r="F143" t="s">
        <v>111</v>
      </c>
      <c r="I143" t="s">
        <v>126</v>
      </c>
    </row>
    <row r="144" spans="2:9" x14ac:dyDescent="0.2">
      <c r="B144" s="1" t="s">
        <v>882</v>
      </c>
      <c r="E144" s="4">
        <v>1</v>
      </c>
      <c r="F144" t="s">
        <v>48</v>
      </c>
      <c r="H144" t="s">
        <v>883</v>
      </c>
      <c r="I144" t="s">
        <v>126</v>
      </c>
    </row>
    <row r="145" spans="1:12" ht="20" x14ac:dyDescent="0.2">
      <c r="A145" t="s">
        <v>921</v>
      </c>
      <c r="B145" s="36" t="s">
        <v>926</v>
      </c>
      <c r="E145" s="4">
        <v>1</v>
      </c>
      <c r="F145" t="s">
        <v>686</v>
      </c>
      <c r="H145" t="s">
        <v>884</v>
      </c>
      <c r="I145" t="s">
        <v>126</v>
      </c>
      <c r="L145" s="15" t="str">
        <f>CONCATENATE("resources/images/",B145)</f>
        <v>resources/images/resources/images/Andrena, miserabilis, f, left, Maryland, P.G_2018-05-16-17.46.jpg</v>
      </c>
    </row>
    <row r="146" spans="1:12" ht="20" x14ac:dyDescent="0.2">
      <c r="A146" t="s">
        <v>921</v>
      </c>
      <c r="B146" s="36" t="s">
        <v>924</v>
      </c>
      <c r="E146" s="4">
        <v>1</v>
      </c>
      <c r="F146" t="s">
        <v>686</v>
      </c>
      <c r="H146" t="s">
        <v>925</v>
      </c>
      <c r="I146" t="s">
        <v>126</v>
      </c>
      <c r="L146" s="15" t="str">
        <f>CONCATENATE("resources/images/",B146)</f>
        <v>resources/images/resources/images/Andrena, miserabilis, f, back, Maryland, P.G_2018-05-16-17.24.jpg</v>
      </c>
    </row>
    <row r="147" spans="1:12" ht="20" x14ac:dyDescent="0.2">
      <c r="A147" t="s">
        <v>921</v>
      </c>
      <c r="B147" s="36" t="s">
        <v>927</v>
      </c>
      <c r="E147" s="4">
        <v>1</v>
      </c>
      <c r="F147" t="s">
        <v>686</v>
      </c>
      <c r="H147" t="s">
        <v>885</v>
      </c>
      <c r="I147" t="s">
        <v>126</v>
      </c>
      <c r="L147" s="15" t="str">
        <f>CONCATENATE("resources/images/",B147)</f>
        <v>resources/images/resources/images/Andrena, miserabilis, f, face, Maryland, P.G_2018-05-16-17.34.jpg</v>
      </c>
    </row>
    <row r="148" spans="1:12" ht="24" x14ac:dyDescent="0.3">
      <c r="B148" s="41" t="s">
        <v>563</v>
      </c>
    </row>
    <row r="149" spans="1:12" x14ac:dyDescent="0.2">
      <c r="B149" s="1" t="s">
        <v>578</v>
      </c>
      <c r="E149" s="4">
        <v>1</v>
      </c>
      <c r="F149" t="s">
        <v>111</v>
      </c>
      <c r="I149" t="s">
        <v>127</v>
      </c>
    </row>
    <row r="150" spans="1:12" x14ac:dyDescent="0.2">
      <c r="B150" s="1" t="s">
        <v>886</v>
      </c>
      <c r="E150" s="4">
        <v>1</v>
      </c>
      <c r="F150" t="s">
        <v>48</v>
      </c>
      <c r="I150" t="s">
        <v>127</v>
      </c>
    </row>
    <row r="151" spans="1:12" ht="24" x14ac:dyDescent="0.3">
      <c r="B151" s="41" t="s">
        <v>564</v>
      </c>
    </row>
    <row r="152" spans="1:12" x14ac:dyDescent="0.2">
      <c r="B152" s="1" t="s">
        <v>579</v>
      </c>
      <c r="E152" s="4">
        <v>1</v>
      </c>
      <c r="F152" t="s">
        <v>111</v>
      </c>
      <c r="I152" t="s">
        <v>511</v>
      </c>
    </row>
    <row r="153" spans="1:12" x14ac:dyDescent="0.2">
      <c r="B153" s="1" t="s">
        <v>991</v>
      </c>
      <c r="E153" s="4">
        <v>1</v>
      </c>
      <c r="F153" t="s">
        <v>686</v>
      </c>
      <c r="H153" t="s">
        <v>994</v>
      </c>
      <c r="I153" t="s">
        <v>511</v>
      </c>
    </row>
    <row r="154" spans="1:12" x14ac:dyDescent="0.2">
      <c r="B154" s="1" t="s">
        <v>992</v>
      </c>
      <c r="E154" s="4">
        <v>1</v>
      </c>
      <c r="F154" t="s">
        <v>48</v>
      </c>
      <c r="H154" t="s">
        <v>994</v>
      </c>
      <c r="I154" t="s">
        <v>511</v>
      </c>
    </row>
    <row r="155" spans="1:12" x14ac:dyDescent="0.2">
      <c r="B155" s="1" t="s">
        <v>993</v>
      </c>
      <c r="E155" s="4">
        <v>1</v>
      </c>
      <c r="F155" t="s">
        <v>48</v>
      </c>
      <c r="H155" t="s">
        <v>994</v>
      </c>
      <c r="I155" t="s">
        <v>511</v>
      </c>
    </row>
    <row r="156" spans="1:12" x14ac:dyDescent="0.2">
      <c r="B156" t="s">
        <v>962</v>
      </c>
      <c r="E156" s="4">
        <v>1</v>
      </c>
      <c r="F156" t="s">
        <v>686</v>
      </c>
      <c r="H156" t="s">
        <v>829</v>
      </c>
      <c r="I156" t="s">
        <v>511</v>
      </c>
    </row>
    <row r="157" spans="1:12" x14ac:dyDescent="0.2">
      <c r="B157" s="1" t="s">
        <v>832</v>
      </c>
      <c r="E157" s="4">
        <v>1</v>
      </c>
      <c r="F157" t="s">
        <v>48</v>
      </c>
      <c r="H157" t="s">
        <v>833</v>
      </c>
      <c r="I157" t="s">
        <v>511</v>
      </c>
      <c r="L157" s="15"/>
    </row>
    <row r="158" spans="1:12" x14ac:dyDescent="0.2">
      <c r="B158" s="1" t="s">
        <v>834</v>
      </c>
      <c r="E158" s="4">
        <v>1</v>
      </c>
      <c r="F158" t="s">
        <v>48</v>
      </c>
      <c r="H158" t="s">
        <v>833</v>
      </c>
      <c r="I158" t="s">
        <v>511</v>
      </c>
      <c r="L158" s="15"/>
    </row>
    <row r="159" spans="1:12" x14ac:dyDescent="0.2">
      <c r="B159" s="1" t="s">
        <v>835</v>
      </c>
      <c r="E159" s="4">
        <v>1</v>
      </c>
      <c r="F159" t="s">
        <v>48</v>
      </c>
      <c r="H159" t="s">
        <v>833</v>
      </c>
      <c r="I159" t="s">
        <v>511</v>
      </c>
      <c r="L159" s="15"/>
    </row>
    <row r="160" spans="1:12" ht="24" x14ac:dyDescent="0.3">
      <c r="B160" s="41" t="s">
        <v>609</v>
      </c>
    </row>
    <row r="161" spans="1:19" x14ac:dyDescent="0.2">
      <c r="B161" s="1" t="s">
        <v>610</v>
      </c>
      <c r="E161" s="4">
        <v>1</v>
      </c>
      <c r="F161" t="s">
        <v>111</v>
      </c>
      <c r="I161" t="s">
        <v>117</v>
      </c>
    </row>
    <row r="162" spans="1:19" ht="20" x14ac:dyDescent="0.2">
      <c r="A162" t="s">
        <v>60</v>
      </c>
      <c r="B162" s="36" t="s">
        <v>914</v>
      </c>
      <c r="E162" s="4">
        <v>1</v>
      </c>
      <c r="F162" t="s">
        <v>686</v>
      </c>
      <c r="H162" s="15" t="s">
        <v>913</v>
      </c>
      <c r="I162" t="s">
        <v>117</v>
      </c>
    </row>
    <row r="163" spans="1:19" x14ac:dyDescent="0.2">
      <c r="A163" t="s">
        <v>60</v>
      </c>
      <c r="B163" t="s">
        <v>967</v>
      </c>
      <c r="E163" s="4">
        <v>1</v>
      </c>
      <c r="F163" t="s">
        <v>48</v>
      </c>
      <c r="H163" t="s">
        <v>654</v>
      </c>
      <c r="I163" t="s">
        <v>117</v>
      </c>
    </row>
    <row r="164" spans="1:19" x14ac:dyDescent="0.2">
      <c r="B164" t="s">
        <v>975</v>
      </c>
      <c r="E164" s="4">
        <v>1</v>
      </c>
      <c r="F164" t="s">
        <v>48</v>
      </c>
      <c r="G164">
        <v>1</v>
      </c>
      <c r="H164" t="s">
        <v>978</v>
      </c>
      <c r="I164" t="s">
        <v>117</v>
      </c>
    </row>
    <row r="165" spans="1:19" x14ac:dyDescent="0.2">
      <c r="B165" t="s">
        <v>976</v>
      </c>
      <c r="E165" s="4">
        <v>1</v>
      </c>
      <c r="F165" t="s">
        <v>48</v>
      </c>
      <c r="G165">
        <v>2</v>
      </c>
      <c r="H165" t="s">
        <v>978</v>
      </c>
      <c r="I165" t="s">
        <v>117</v>
      </c>
    </row>
    <row r="166" spans="1:19" x14ac:dyDescent="0.2">
      <c r="B166" t="s">
        <v>977</v>
      </c>
      <c r="E166" s="4">
        <v>1</v>
      </c>
      <c r="F166" t="s">
        <v>48</v>
      </c>
      <c r="G166">
        <v>3</v>
      </c>
      <c r="H166" t="s">
        <v>978</v>
      </c>
      <c r="I166" t="s">
        <v>117</v>
      </c>
    </row>
    <row r="167" spans="1:19" x14ac:dyDescent="0.2">
      <c r="B167" t="s">
        <v>964</v>
      </c>
      <c r="E167" s="4">
        <v>1</v>
      </c>
      <c r="F167" t="s">
        <v>48</v>
      </c>
      <c r="G167">
        <v>4</v>
      </c>
      <c r="H167" t="s">
        <v>968</v>
      </c>
      <c r="L167" s="15" t="str">
        <f t="shared" ref="L167:L172" si="1">CONCATENATE("resources/images/",B167)</f>
        <v>resources/images/resources/images/Andrena miranda, female, left_2012-10-26-15.41.26.jpg</v>
      </c>
    </row>
    <row r="168" spans="1:19" x14ac:dyDescent="0.2">
      <c r="B168" t="s">
        <v>965</v>
      </c>
      <c r="E168" s="4">
        <v>1</v>
      </c>
      <c r="F168" t="s">
        <v>48</v>
      </c>
      <c r="G168">
        <v>5</v>
      </c>
      <c r="H168" t="s">
        <v>968</v>
      </c>
      <c r="L168" s="15" t="str">
        <f t="shared" si="1"/>
        <v>resources/images/resources/images/Andrena miranda, female, back_2012-10-26-15.41.26.jpg</v>
      </c>
    </row>
    <row r="169" spans="1:19" x14ac:dyDescent="0.2">
      <c r="B169" t="s">
        <v>966</v>
      </c>
      <c r="E169" s="4">
        <v>1</v>
      </c>
      <c r="F169" t="s">
        <v>48</v>
      </c>
      <c r="G169">
        <v>6</v>
      </c>
      <c r="H169" t="s">
        <v>968</v>
      </c>
      <c r="L169" s="15" t="str">
        <f t="shared" si="1"/>
        <v>resources/images/resources/images/Andrena miranda, female, face_2012-10-26-15.41.26.jpg</v>
      </c>
    </row>
    <row r="170" spans="1:19" ht="24" x14ac:dyDescent="0.3">
      <c r="A170" s="15" t="s">
        <v>917</v>
      </c>
      <c r="B170" s="44" t="s">
        <v>827</v>
      </c>
      <c r="C170" s="15"/>
      <c r="D170" s="15"/>
      <c r="E170" s="37">
        <v>1</v>
      </c>
      <c r="F170" s="15" t="s">
        <v>48</v>
      </c>
      <c r="G170" s="15"/>
      <c r="H170" s="15" t="s">
        <v>811</v>
      </c>
      <c r="I170" t="s">
        <v>117</v>
      </c>
      <c r="J170" s="15"/>
      <c r="K170" s="15"/>
      <c r="L170" s="15" t="str">
        <f t="shared" si="1"/>
        <v>resources/images/resources/images/andrena-hippotes-female-back-maryland_2013-05-31-183340.jpg</v>
      </c>
      <c r="M170" s="15"/>
      <c r="N170" s="15"/>
      <c r="O170" s="15"/>
      <c r="P170" s="15"/>
      <c r="Q170" s="15"/>
      <c r="R170" s="15"/>
      <c r="S170" s="15"/>
    </row>
    <row r="171" spans="1:19" x14ac:dyDescent="0.2">
      <c r="A171" s="15" t="s">
        <v>915</v>
      </c>
      <c r="B171" s="15" t="s">
        <v>916</v>
      </c>
      <c r="C171" s="15"/>
      <c r="D171" s="15"/>
      <c r="E171" s="37">
        <v>1</v>
      </c>
      <c r="F171" s="15" t="s">
        <v>48</v>
      </c>
      <c r="G171" s="15"/>
      <c r="H171" s="15" t="s">
        <v>812</v>
      </c>
      <c r="I171" t="s">
        <v>117</v>
      </c>
      <c r="J171" s="15"/>
      <c r="K171" s="15"/>
      <c r="L171" s="15" t="str">
        <f t="shared" si="1"/>
        <v>resources/images/resources/images/andrena_hippotes_female_face_2012_08_02_190302.jpg</v>
      </c>
      <c r="M171" s="15"/>
      <c r="N171" s="15"/>
      <c r="O171" s="15"/>
      <c r="P171" s="15"/>
      <c r="Q171" s="15"/>
      <c r="R171" s="15"/>
      <c r="S171" s="15"/>
    </row>
    <row r="172" spans="1:19" x14ac:dyDescent="0.2">
      <c r="A172" s="15" t="s">
        <v>713</v>
      </c>
      <c r="B172" s="15" t="s">
        <v>828</v>
      </c>
      <c r="C172" s="15"/>
      <c r="D172" s="15"/>
      <c r="E172" s="37">
        <v>1</v>
      </c>
      <c r="F172" s="15" t="s">
        <v>48</v>
      </c>
      <c r="G172" s="15"/>
      <c r="H172" s="15" t="s">
        <v>813</v>
      </c>
      <c r="I172" t="s">
        <v>117</v>
      </c>
      <c r="J172" s="15"/>
      <c r="K172" s="15"/>
      <c r="L172" s="15" t="str">
        <f t="shared" si="1"/>
        <v>resources/images/resources/images/andrena-hippotes-female-side_2012-08-02-191103.jpg</v>
      </c>
      <c r="M172" s="15"/>
      <c r="N172" s="15"/>
      <c r="O172" s="15"/>
      <c r="P172" s="15"/>
      <c r="Q172" s="15"/>
      <c r="R172" s="15"/>
      <c r="S172" s="15"/>
    </row>
    <row r="173" spans="1:19" x14ac:dyDescent="0.2">
      <c r="A173" s="15" t="s">
        <v>713</v>
      </c>
      <c r="B173" s="15" t="s">
        <v>827</v>
      </c>
      <c r="C173" s="15"/>
      <c r="D173" s="15"/>
      <c r="E173" s="37"/>
      <c r="F173" s="15"/>
      <c r="G173" s="15"/>
      <c r="H173" s="15"/>
      <c r="J173" s="15"/>
      <c r="K173" s="15"/>
      <c r="L173" s="15"/>
      <c r="M173" s="15"/>
      <c r="N173" s="15"/>
      <c r="O173" s="15"/>
      <c r="P173" s="15"/>
      <c r="Q173" s="15"/>
      <c r="R173" s="15"/>
      <c r="S173" s="15"/>
    </row>
    <row r="174" spans="1:19" s="42" customFormat="1" x14ac:dyDescent="0.2">
      <c r="A174" s="42" t="s">
        <v>685</v>
      </c>
      <c r="B174" s="42" t="s">
        <v>687</v>
      </c>
      <c r="E174" s="43"/>
    </row>
    <row r="175" spans="1:19" x14ac:dyDescent="0.2">
      <c r="A175" t="s">
        <v>664</v>
      </c>
      <c r="B175" t="s">
        <v>714</v>
      </c>
      <c r="E175" s="4">
        <v>1</v>
      </c>
      <c r="F175" t="s">
        <v>686</v>
      </c>
      <c r="J175" s="14" t="s">
        <v>136</v>
      </c>
      <c r="K175" t="s">
        <v>198</v>
      </c>
      <c r="L175" t="str">
        <f>IF(I175="###",CONCATENATE("#",S175,),S175)</f>
        <v>resources/images/Abdomen_T2_bands_complete.jpg</v>
      </c>
      <c r="P175" t="str">
        <f>CONCATENATE("Abdomen_",J175,"_",K175)</f>
        <v>Abdomen_T2_bands_complete</v>
      </c>
      <c r="S175" t="str">
        <f>CONCATENATE("resources/images/",P175,".jpg")</f>
        <v>resources/images/Abdomen_T2_bands_complete.jpg</v>
      </c>
    </row>
    <row r="176" spans="1:19" x14ac:dyDescent="0.2">
      <c r="A176" t="s">
        <v>664</v>
      </c>
      <c r="B176" t="s">
        <v>715</v>
      </c>
      <c r="E176" s="4">
        <v>1</v>
      </c>
      <c r="F176" t="s">
        <v>686</v>
      </c>
      <c r="J176" s="14" t="s">
        <v>136</v>
      </c>
      <c r="K176" t="s">
        <v>253</v>
      </c>
      <c r="L176" t="str">
        <f t="shared" ref="L176:L239" si="2">IF(I176="###",CONCATENATE("#",S176,),S176)</f>
        <v>resources/images/Abdomen_T2_bands_broad.jpg</v>
      </c>
      <c r="P176" t="str">
        <f>CONCATENATE("Abdomen_",J176,"_",K176)</f>
        <v>Abdomen_T2_bands_broad</v>
      </c>
      <c r="S176" t="str">
        <f t="shared" ref="S176:S239" si="3">CONCATENATE("resources/images/",P176,".jpg")</f>
        <v>resources/images/Abdomen_T2_bands_broad.jpg</v>
      </c>
    </row>
    <row r="177" spans="1:19" x14ac:dyDescent="0.2">
      <c r="A177" t="s">
        <v>664</v>
      </c>
      <c r="B177" t="s">
        <v>716</v>
      </c>
      <c r="E177" s="4">
        <v>1</v>
      </c>
      <c r="F177" t="s">
        <v>686</v>
      </c>
      <c r="J177" s="14" t="s">
        <v>136</v>
      </c>
      <c r="K177" t="s">
        <v>404</v>
      </c>
      <c r="L177" t="str">
        <f t="shared" si="2"/>
        <v>resources/images/Abdomen_T2_bands_narrow.jpg</v>
      </c>
      <c r="P177" t="str">
        <f>CONCATENATE("Abdomen_",J177,"_",K177)</f>
        <v>Abdomen_T2_bands_narrow</v>
      </c>
      <c r="S177" t="str">
        <f t="shared" si="3"/>
        <v>resources/images/Abdomen_T2_bands_narrow.jpg</v>
      </c>
    </row>
    <row r="178" spans="1:19" x14ac:dyDescent="0.2">
      <c r="A178" t="s">
        <v>664</v>
      </c>
      <c r="B178" t="s">
        <v>717</v>
      </c>
      <c r="E178" s="4">
        <v>1</v>
      </c>
      <c r="F178" t="s">
        <v>686</v>
      </c>
      <c r="J178" s="14" t="s">
        <v>136</v>
      </c>
      <c r="K178" t="s">
        <v>58</v>
      </c>
      <c r="L178" t="str">
        <f t="shared" si="2"/>
        <v>resources/images/Abdomen_T2_bands_absent.jpg</v>
      </c>
      <c r="P178" t="str">
        <f>CONCATENATE("Abdomen_",J178,"_",K178)</f>
        <v>Abdomen_T2_bands_absent</v>
      </c>
      <c r="S178" t="str">
        <f t="shared" si="3"/>
        <v>resources/images/Abdomen_T2_bands_absent.jpg</v>
      </c>
    </row>
    <row r="179" spans="1:19" x14ac:dyDescent="0.2">
      <c r="A179" t="s">
        <v>664</v>
      </c>
      <c r="B179" t="s">
        <v>718</v>
      </c>
      <c r="E179" s="4">
        <v>1</v>
      </c>
      <c r="F179" t="s">
        <v>686</v>
      </c>
      <c r="J179" s="14" t="s">
        <v>171</v>
      </c>
      <c r="K179" t="s">
        <v>173</v>
      </c>
      <c r="L179" t="str">
        <f t="shared" si="2"/>
        <v>resources/images/Abdomen_T2_texture_granular.jpg</v>
      </c>
      <c r="P179" t="str">
        <f>CONCATENATE("Abdomen_",J179,"_",K179)</f>
        <v>Abdomen_T2_texture_granular</v>
      </c>
      <c r="S179" t="str">
        <f t="shared" si="3"/>
        <v>resources/images/Abdomen_T2_texture_granular.jpg</v>
      </c>
    </row>
    <row r="180" spans="1:19" x14ac:dyDescent="0.2">
      <c r="A180" t="s">
        <v>664</v>
      </c>
      <c r="B180" t="s">
        <v>719</v>
      </c>
      <c r="E180" s="4">
        <v>1</v>
      </c>
      <c r="F180" t="s">
        <v>686</v>
      </c>
      <c r="J180" s="14" t="s">
        <v>171</v>
      </c>
      <c r="K180" t="s">
        <v>173</v>
      </c>
      <c r="L180" t="str">
        <f t="shared" si="2"/>
        <v>resources/images/Abdomen_T2_texture_granular_2.jpg</v>
      </c>
      <c r="P180" t="s">
        <v>669</v>
      </c>
      <c r="S180" t="str">
        <f t="shared" si="3"/>
        <v>resources/images/Abdomen_T2_texture_granular_2.jpg</v>
      </c>
    </row>
    <row r="181" spans="1:19" x14ac:dyDescent="0.2">
      <c r="A181" t="s">
        <v>664</v>
      </c>
      <c r="B181" t="s">
        <v>720</v>
      </c>
      <c r="E181" s="4">
        <v>1</v>
      </c>
      <c r="F181" t="s">
        <v>686</v>
      </c>
      <c r="J181" s="14" t="s">
        <v>171</v>
      </c>
      <c r="K181" t="s">
        <v>287</v>
      </c>
      <c r="L181" t="str">
        <f t="shared" si="2"/>
        <v>resources/images/Abdomen_T2_texture_smooth.jpg</v>
      </c>
      <c r="P181" t="str">
        <f t="shared" ref="P181:P190" si="4">CONCATENATE("Abdomen_",J181,"_",K181)</f>
        <v>Abdomen_T2_texture_smooth</v>
      </c>
      <c r="S181" t="str">
        <f t="shared" si="3"/>
        <v>resources/images/Abdomen_T2_texture_smooth.jpg</v>
      </c>
    </row>
    <row r="182" spans="1:19" x14ac:dyDescent="0.2">
      <c r="A182" t="s">
        <v>685</v>
      </c>
      <c r="B182" t="s">
        <v>814</v>
      </c>
      <c r="E182" s="4">
        <v>1</v>
      </c>
      <c r="F182" t="s">
        <v>686</v>
      </c>
      <c r="J182" s="34" t="s">
        <v>135</v>
      </c>
      <c r="K182" s="32" t="s">
        <v>58</v>
      </c>
      <c r="L182" t="str">
        <f t="shared" si="2"/>
        <v>resources/images/Abdomen_T2_pits_absent.jpg</v>
      </c>
      <c r="M182" s="32"/>
      <c r="N182" s="32"/>
      <c r="P182" s="32" t="str">
        <f t="shared" si="4"/>
        <v>Abdomen_T2_pits_absent</v>
      </c>
      <c r="S182" t="str">
        <f t="shared" si="3"/>
        <v>resources/images/Abdomen_T2_pits_absent.jpg</v>
      </c>
    </row>
    <row r="183" spans="1:19" x14ac:dyDescent="0.2">
      <c r="A183" t="s">
        <v>667</v>
      </c>
      <c r="B183" t="s">
        <v>721</v>
      </c>
      <c r="E183" s="4">
        <v>1</v>
      </c>
      <c r="F183" t="s">
        <v>686</v>
      </c>
      <c r="J183" s="13" t="s">
        <v>135</v>
      </c>
      <c r="K183" t="s">
        <v>247</v>
      </c>
      <c r="L183" t="str">
        <f t="shared" si="2"/>
        <v>resources/images/Abdomen_T2_pits_dense.jpg</v>
      </c>
      <c r="P183" t="str">
        <f t="shared" si="4"/>
        <v>Abdomen_T2_pits_dense</v>
      </c>
      <c r="S183" t="str">
        <f t="shared" si="3"/>
        <v>resources/images/Abdomen_T2_pits_dense.jpg</v>
      </c>
    </row>
    <row r="184" spans="1:19" x14ac:dyDescent="0.2">
      <c r="A184" t="s">
        <v>664</v>
      </c>
      <c r="B184" t="s">
        <v>722</v>
      </c>
      <c r="E184" s="4">
        <v>1</v>
      </c>
      <c r="F184" t="s">
        <v>686</v>
      </c>
      <c r="J184" s="13" t="s">
        <v>135</v>
      </c>
      <c r="K184" s="26" t="s">
        <v>326</v>
      </c>
      <c r="L184" t="str">
        <f t="shared" si="2"/>
        <v>resources/images/Abdomen_T2_pits_1-3.jpg</v>
      </c>
      <c r="P184" t="str">
        <f t="shared" si="4"/>
        <v>Abdomen_T2_pits_1-3</v>
      </c>
      <c r="S184" t="str">
        <f t="shared" si="3"/>
        <v>resources/images/Abdomen_T2_pits_1-3.jpg</v>
      </c>
    </row>
    <row r="185" spans="1:19" x14ac:dyDescent="0.2">
      <c r="A185" t="s">
        <v>664</v>
      </c>
      <c r="B185" t="s">
        <v>723</v>
      </c>
      <c r="E185" s="4">
        <v>1</v>
      </c>
      <c r="F185" t="s">
        <v>686</v>
      </c>
      <c r="J185" s="13" t="s">
        <v>135</v>
      </c>
      <c r="K185" t="s">
        <v>406</v>
      </c>
      <c r="L185" t="str">
        <f t="shared" si="2"/>
        <v>resources/images/Abdomen_T2_pits_3+.jpg</v>
      </c>
      <c r="P185" t="str">
        <f t="shared" si="4"/>
        <v>Abdomen_T2_pits_3+</v>
      </c>
      <c r="S185" t="str">
        <f t="shared" si="3"/>
        <v>resources/images/Abdomen_T2_pits_3+.jpg</v>
      </c>
    </row>
    <row r="186" spans="1:19" x14ac:dyDescent="0.2">
      <c r="A186" t="s">
        <v>685</v>
      </c>
      <c r="B186" t="s">
        <v>815</v>
      </c>
      <c r="E186" s="4">
        <v>1</v>
      </c>
      <c r="F186" t="s">
        <v>686</v>
      </c>
      <c r="J186" s="35" t="s">
        <v>137</v>
      </c>
      <c r="K186" s="32" t="s">
        <v>208</v>
      </c>
      <c r="L186" t="str">
        <f t="shared" si="2"/>
        <v>resources/images/Abdomen_Abd_integument_dark.jpg</v>
      </c>
      <c r="M186" s="32"/>
      <c r="N186" s="32"/>
      <c r="P186" s="32" t="str">
        <f t="shared" si="4"/>
        <v>Abdomen_Abd_integument_dark</v>
      </c>
      <c r="S186" t="str">
        <f t="shared" si="3"/>
        <v>resources/images/Abdomen_Abd_integument_dark.jpg</v>
      </c>
    </row>
    <row r="187" spans="1:19" x14ac:dyDescent="0.2">
      <c r="A187" t="s">
        <v>685</v>
      </c>
      <c r="B187" t="s">
        <v>816</v>
      </c>
      <c r="E187" s="4">
        <v>1</v>
      </c>
      <c r="F187" t="s">
        <v>686</v>
      </c>
      <c r="J187" s="35" t="s">
        <v>137</v>
      </c>
      <c r="K187" s="32" t="s">
        <v>407</v>
      </c>
      <c r="L187" t="str">
        <f t="shared" si="2"/>
        <v>resources/images/Abdomen_Abd_integument_faint.jpg</v>
      </c>
      <c r="M187" s="32"/>
      <c r="N187" s="32"/>
      <c r="P187" s="32" t="str">
        <f t="shared" si="4"/>
        <v>Abdomen_Abd_integument_faint</v>
      </c>
      <c r="S187" t="str">
        <f t="shared" si="3"/>
        <v>resources/images/Abdomen_Abd_integument_faint.jpg</v>
      </c>
    </row>
    <row r="188" spans="1:19" x14ac:dyDescent="0.2">
      <c r="A188" t="s">
        <v>664</v>
      </c>
      <c r="B188" t="s">
        <v>724</v>
      </c>
      <c r="E188" s="4">
        <v>1</v>
      </c>
      <c r="F188" t="s">
        <v>686</v>
      </c>
      <c r="J188" s="14" t="s">
        <v>137</v>
      </c>
      <c r="K188" t="s">
        <v>305</v>
      </c>
      <c r="L188" t="str">
        <f t="shared" si="2"/>
        <v>resources/images/Abdomen_Abd_integument_metallic.jpg</v>
      </c>
      <c r="P188" t="str">
        <f t="shared" si="4"/>
        <v>Abdomen_Abd_integument_metallic</v>
      </c>
      <c r="S188" t="str">
        <f t="shared" si="3"/>
        <v>resources/images/Abdomen_Abd_integument_metallic.jpg</v>
      </c>
    </row>
    <row r="189" spans="1:19" x14ac:dyDescent="0.2">
      <c r="A189" t="s">
        <v>664</v>
      </c>
      <c r="B189" t="s">
        <v>725</v>
      </c>
      <c r="E189" s="4">
        <v>1</v>
      </c>
      <c r="F189" t="s">
        <v>686</v>
      </c>
      <c r="J189" s="14" t="s">
        <v>137</v>
      </c>
      <c r="K189" t="s">
        <v>408</v>
      </c>
      <c r="L189" t="str">
        <f t="shared" si="2"/>
        <v>resources/images/Abdomen_Abd_integument_red.jpg</v>
      </c>
      <c r="P189" t="str">
        <f t="shared" si="4"/>
        <v>Abdomen_Abd_integument_red</v>
      </c>
      <c r="S189" t="str">
        <f t="shared" si="3"/>
        <v>resources/images/Abdomen_Abd_integument_red.jpg</v>
      </c>
    </row>
    <row r="190" spans="1:19" x14ac:dyDescent="0.2">
      <c r="A190" t="s">
        <v>667</v>
      </c>
      <c r="B190" t="s">
        <v>726</v>
      </c>
      <c r="E190" s="4">
        <v>1</v>
      </c>
      <c r="F190" t="s">
        <v>686</v>
      </c>
      <c r="J190" s="14" t="s">
        <v>138</v>
      </c>
      <c r="K190" t="s">
        <v>218</v>
      </c>
      <c r="L190" t="str">
        <f t="shared" si="2"/>
        <v>resources/images/Abdomen_Pyg_plate_present.jpg</v>
      </c>
      <c r="P190" t="str">
        <f t="shared" si="4"/>
        <v>Abdomen_Pyg_plate_present</v>
      </c>
      <c r="S190" t="str">
        <f t="shared" si="3"/>
        <v>resources/images/Abdomen_Pyg_plate_present.jpg</v>
      </c>
    </row>
    <row r="191" spans="1:19" x14ac:dyDescent="0.2">
      <c r="A191" t="s">
        <v>667</v>
      </c>
      <c r="B191" t="s">
        <v>727</v>
      </c>
      <c r="E191" s="4">
        <v>1</v>
      </c>
      <c r="F191" t="s">
        <v>686</v>
      </c>
      <c r="J191" s="14" t="s">
        <v>138</v>
      </c>
      <c r="K191" t="s">
        <v>218</v>
      </c>
      <c r="L191" t="str">
        <f t="shared" si="2"/>
        <v>resources/images/Abdomen_Pyg_plate_present_2.jpg</v>
      </c>
      <c r="P191" t="s">
        <v>668</v>
      </c>
      <c r="S191" t="str">
        <f t="shared" si="3"/>
        <v>resources/images/Abdomen_Pyg_plate_present_2.jpg</v>
      </c>
    </row>
    <row r="192" spans="1:19" x14ac:dyDescent="0.2">
      <c r="A192" t="s">
        <v>685</v>
      </c>
      <c r="B192" t="s">
        <v>817</v>
      </c>
      <c r="E192" s="4">
        <v>1</v>
      </c>
      <c r="F192" t="s">
        <v>686</v>
      </c>
      <c r="J192" s="35" t="s">
        <v>138</v>
      </c>
      <c r="K192" s="32" t="s">
        <v>58</v>
      </c>
      <c r="L192" t="str">
        <f t="shared" si="2"/>
        <v>resources/images/Abdomen_Pyg_plate_absent.jpg</v>
      </c>
      <c r="M192" s="32"/>
      <c r="N192" s="32"/>
      <c r="P192" s="32" t="str">
        <f>CONCATENATE("Abdomen_",J192,"_",K192)</f>
        <v>Abdomen_Pyg_plate_absent</v>
      </c>
      <c r="S192" t="str">
        <f t="shared" si="3"/>
        <v>resources/images/Abdomen_Pyg_plate_absent.jpg</v>
      </c>
    </row>
    <row r="193" spans="1:19" x14ac:dyDescent="0.2">
      <c r="A193" t="s">
        <v>685</v>
      </c>
      <c r="B193" t="s">
        <v>818</v>
      </c>
      <c r="E193" s="4">
        <v>1</v>
      </c>
      <c r="F193" t="s">
        <v>686</v>
      </c>
      <c r="J193" s="35" t="s">
        <v>176</v>
      </c>
      <c r="K193" s="32" t="s">
        <v>177</v>
      </c>
      <c r="L193" t="str">
        <f t="shared" si="2"/>
        <v>resources/images/Abdomen_T2-4_hair_pale.jpg</v>
      </c>
      <c r="M193" s="32"/>
      <c r="N193" s="32"/>
      <c r="P193" s="32" t="str">
        <f>CONCATENATE("Abdomen_",J193,"_",K193)</f>
        <v>Abdomen_T2-4_hair_pale</v>
      </c>
      <c r="S193" t="str">
        <f t="shared" si="3"/>
        <v>resources/images/Abdomen_T2-4_hair_pale.jpg</v>
      </c>
    </row>
    <row r="194" spans="1:19" x14ac:dyDescent="0.2">
      <c r="A194" t="s">
        <v>664</v>
      </c>
      <c r="B194" t="s">
        <v>728</v>
      </c>
      <c r="E194" s="4">
        <v>1</v>
      </c>
      <c r="F194" t="s">
        <v>686</v>
      </c>
      <c r="J194" s="14" t="s">
        <v>176</v>
      </c>
      <c r="K194" t="s">
        <v>208</v>
      </c>
      <c r="L194" t="str">
        <f t="shared" si="2"/>
        <v>resources/images/Abdomen_T2-4_hair_dark.jpg</v>
      </c>
      <c r="P194" t="str">
        <f>CONCATENATE("Abdomen_",J194,"_",K194)</f>
        <v>Abdomen_T2-4_hair_dark</v>
      </c>
      <c r="S194" t="str">
        <f t="shared" si="3"/>
        <v>resources/images/Abdomen_T2-4_hair_dark.jpg</v>
      </c>
    </row>
    <row r="195" spans="1:19" x14ac:dyDescent="0.2">
      <c r="A195" t="s">
        <v>685</v>
      </c>
      <c r="B195" t="s">
        <v>819</v>
      </c>
      <c r="E195" s="4">
        <v>1</v>
      </c>
      <c r="F195" t="s">
        <v>686</v>
      </c>
      <c r="J195" s="35" t="s">
        <v>176</v>
      </c>
      <c r="K195" s="32" t="s">
        <v>409</v>
      </c>
      <c r="L195" t="str">
        <f t="shared" si="2"/>
        <v>resources/images/Abdomen_T2-4_hair_mixed.jpg</v>
      </c>
      <c r="M195" s="32"/>
      <c r="N195" s="32"/>
      <c r="P195" s="32" t="str">
        <f>CONCATENATE("Abdomen_",J195,"_",K195)</f>
        <v>Abdomen_T2-4_hair_mixed</v>
      </c>
      <c r="S195" t="str">
        <f t="shared" si="3"/>
        <v>resources/images/Abdomen_T2-4_hair_mixed.jpg</v>
      </c>
    </row>
    <row r="196" spans="1:19" x14ac:dyDescent="0.2">
      <c r="A196" t="s">
        <v>664</v>
      </c>
      <c r="B196" t="s">
        <v>729</v>
      </c>
      <c r="E196" s="4">
        <v>1</v>
      </c>
      <c r="F196" t="s">
        <v>686</v>
      </c>
      <c r="J196" s="9" t="s">
        <v>139</v>
      </c>
      <c r="K196" t="s">
        <v>225</v>
      </c>
      <c r="L196" t="str">
        <f t="shared" si="2"/>
        <v>resources/images/Head_Flag1_length_long.jpg</v>
      </c>
      <c r="P196" t="str">
        <f t="shared" ref="P196:P201" si="5">CONCATENATE("Head_",J196,"_",K196)</f>
        <v>Head_Flag1_length_long</v>
      </c>
      <c r="S196" t="str">
        <f t="shared" si="3"/>
        <v>resources/images/Head_Flag1_length_long.jpg</v>
      </c>
    </row>
    <row r="197" spans="1:19" x14ac:dyDescent="0.2">
      <c r="A197" t="s">
        <v>664</v>
      </c>
      <c r="B197" t="s">
        <v>730</v>
      </c>
      <c r="E197" s="4">
        <v>1</v>
      </c>
      <c r="F197" t="s">
        <v>686</v>
      </c>
      <c r="J197" s="9" t="s">
        <v>139</v>
      </c>
      <c r="K197" t="s">
        <v>327</v>
      </c>
      <c r="L197" t="str">
        <f t="shared" si="2"/>
        <v>resources/images/Head_Flag1_length_longer.jpg</v>
      </c>
      <c r="P197" t="str">
        <f t="shared" si="5"/>
        <v>Head_Flag1_length_longer</v>
      </c>
      <c r="S197" t="str">
        <f t="shared" si="3"/>
        <v>resources/images/Head_Flag1_length_longer.jpg</v>
      </c>
    </row>
    <row r="198" spans="1:19" x14ac:dyDescent="0.2">
      <c r="A198" t="s">
        <v>685</v>
      </c>
      <c r="B198" t="s">
        <v>820</v>
      </c>
      <c r="E198" s="4">
        <v>1</v>
      </c>
      <c r="F198" t="s">
        <v>686</v>
      </c>
      <c r="J198" s="34" t="s">
        <v>140</v>
      </c>
      <c r="K198" s="32" t="s">
        <v>179</v>
      </c>
      <c r="L198" t="str">
        <f t="shared" si="2"/>
        <v>resources/images/Head_Clypeus_shape_normal.jpg</v>
      </c>
      <c r="M198" s="32"/>
      <c r="N198" s="32"/>
      <c r="P198" s="32" t="str">
        <f t="shared" si="5"/>
        <v>Head_Clypeus_shape_normal</v>
      </c>
      <c r="S198" t="str">
        <f t="shared" si="3"/>
        <v>resources/images/Head_Clypeus_shape_normal.jpg</v>
      </c>
    </row>
    <row r="199" spans="1:19" x14ac:dyDescent="0.2">
      <c r="A199" t="s">
        <v>685</v>
      </c>
      <c r="B199" t="s">
        <v>821</v>
      </c>
      <c r="E199" s="4">
        <v>1</v>
      </c>
      <c r="F199" t="s">
        <v>686</v>
      </c>
      <c r="J199" s="34" t="s">
        <v>140</v>
      </c>
      <c r="K199" s="32" t="s">
        <v>412</v>
      </c>
      <c r="L199" t="str">
        <f t="shared" si="2"/>
        <v>resources/images/Head_Clypeus_shape_flat.jpg</v>
      </c>
      <c r="M199" s="32"/>
      <c r="N199" s="32"/>
      <c r="P199" s="32" t="str">
        <f t="shared" si="5"/>
        <v>Head_Clypeus_shape_flat</v>
      </c>
      <c r="S199" t="str">
        <f t="shared" si="3"/>
        <v>resources/images/Head_Clypeus_shape_flat.jpg</v>
      </c>
    </row>
    <row r="200" spans="1:19" x14ac:dyDescent="0.2">
      <c r="A200" t="s">
        <v>685</v>
      </c>
      <c r="B200" t="s">
        <v>822</v>
      </c>
      <c r="E200" s="4">
        <v>1</v>
      </c>
      <c r="F200" t="s">
        <v>686</v>
      </c>
      <c r="J200" s="34" t="s">
        <v>140</v>
      </c>
      <c r="K200" s="32" t="s">
        <v>413</v>
      </c>
      <c r="L200" t="str">
        <f t="shared" si="2"/>
        <v>resources/images/Head_Clypeus_shape_bulging.jpg</v>
      </c>
      <c r="M200" s="32"/>
      <c r="N200" s="32"/>
      <c r="P200" s="32" t="str">
        <f t="shared" si="5"/>
        <v>Head_Clypeus_shape_bulging</v>
      </c>
      <c r="S200" t="str">
        <f t="shared" si="3"/>
        <v>resources/images/Head_Clypeus_shape_bulging.jpg</v>
      </c>
    </row>
    <row r="201" spans="1:19" x14ac:dyDescent="0.2">
      <c r="A201" t="s">
        <v>664</v>
      </c>
      <c r="B201" t="s">
        <v>731</v>
      </c>
      <c r="E201" s="4">
        <v>1</v>
      </c>
      <c r="F201" t="s">
        <v>686</v>
      </c>
      <c r="J201" s="11" t="s">
        <v>141</v>
      </c>
      <c r="K201" t="s">
        <v>209</v>
      </c>
      <c r="L201" t="str">
        <f t="shared" si="2"/>
        <v>resources/images/Head_Clypeus_texture_dull.jpg</v>
      </c>
      <c r="P201" t="str">
        <f t="shared" si="5"/>
        <v>Head_Clypeus_texture_dull</v>
      </c>
      <c r="S201" t="str">
        <f t="shared" si="3"/>
        <v>resources/images/Head_Clypeus_texture_dull.jpg</v>
      </c>
    </row>
    <row r="202" spans="1:19" x14ac:dyDescent="0.2">
      <c r="A202" t="s">
        <v>664</v>
      </c>
      <c r="B202" t="s">
        <v>732</v>
      </c>
      <c r="E202" s="4">
        <v>1</v>
      </c>
      <c r="F202" t="s">
        <v>686</v>
      </c>
      <c r="J202" s="11" t="s">
        <v>141</v>
      </c>
      <c r="K202" t="s">
        <v>209</v>
      </c>
      <c r="L202" t="str">
        <f t="shared" si="2"/>
        <v>resources/images/Head_Clypeus_texture_dull_2.jpg</v>
      </c>
      <c r="P202" t="s">
        <v>681</v>
      </c>
      <c r="S202" t="str">
        <f t="shared" si="3"/>
        <v>resources/images/Head_Clypeus_texture_dull_2.jpg</v>
      </c>
    </row>
    <row r="203" spans="1:19" x14ac:dyDescent="0.2">
      <c r="A203" t="s">
        <v>664</v>
      </c>
      <c r="B203" t="s">
        <v>733</v>
      </c>
      <c r="E203" s="4">
        <v>1</v>
      </c>
      <c r="F203" t="s">
        <v>686</v>
      </c>
      <c r="J203" s="11" t="s">
        <v>141</v>
      </c>
      <c r="K203" t="s">
        <v>297</v>
      </c>
      <c r="L203" t="str">
        <f t="shared" si="2"/>
        <v>resources/images/Head_Clypeus_texture_shinydull.jpg</v>
      </c>
      <c r="P203" t="str">
        <f>CONCATENATE("Head_",J203,"_",K203)</f>
        <v>Head_Clypeus_texture_shinydull</v>
      </c>
      <c r="S203" t="str">
        <f t="shared" si="3"/>
        <v>resources/images/Head_Clypeus_texture_shinydull.jpg</v>
      </c>
    </row>
    <row r="204" spans="1:19" x14ac:dyDescent="0.2">
      <c r="A204" t="s">
        <v>664</v>
      </c>
      <c r="B204" t="s">
        <v>734</v>
      </c>
      <c r="E204" s="4">
        <v>1</v>
      </c>
      <c r="F204" t="s">
        <v>686</v>
      </c>
      <c r="J204" s="11" t="s">
        <v>141</v>
      </c>
      <c r="K204" t="s">
        <v>414</v>
      </c>
      <c r="L204" t="str">
        <f t="shared" si="2"/>
        <v>resources/images/Head_Clypeus_texture_shiny.jpg</v>
      </c>
      <c r="P204" t="str">
        <f>CONCATENATE("Head_",J204,"_",K204)</f>
        <v>Head_Clypeus_texture_shiny</v>
      </c>
      <c r="S204" t="str">
        <f t="shared" si="3"/>
        <v>resources/images/Head_Clypeus_texture_shiny.jpg</v>
      </c>
    </row>
    <row r="205" spans="1:19" x14ac:dyDescent="0.2">
      <c r="A205" t="s">
        <v>664</v>
      </c>
      <c r="B205" t="s">
        <v>735</v>
      </c>
      <c r="E205" s="4">
        <v>1</v>
      </c>
      <c r="F205" t="s">
        <v>686</v>
      </c>
      <c r="J205" s="11" t="s">
        <v>142</v>
      </c>
      <c r="K205" t="s">
        <v>218</v>
      </c>
      <c r="L205" t="str">
        <f t="shared" si="2"/>
        <v>resources/images/Head_Clypeus_midline_present_2.jpg</v>
      </c>
      <c r="P205" t="s">
        <v>684</v>
      </c>
      <c r="S205" t="str">
        <f t="shared" si="3"/>
        <v>resources/images/Head_Clypeus_midline_present_2.jpg</v>
      </c>
    </row>
    <row r="206" spans="1:19" x14ac:dyDescent="0.2">
      <c r="A206" t="s">
        <v>664</v>
      </c>
      <c r="B206" t="s">
        <v>736</v>
      </c>
      <c r="E206" s="4">
        <v>1</v>
      </c>
      <c r="F206" t="s">
        <v>686</v>
      </c>
      <c r="J206" s="11" t="s">
        <v>142</v>
      </c>
      <c r="K206" t="s">
        <v>218</v>
      </c>
      <c r="L206" t="str">
        <f t="shared" si="2"/>
        <v>resources/images/Head_Clypeus_midline_present.jpg</v>
      </c>
      <c r="P206" t="str">
        <f t="shared" ref="P206:P221" si="6">CONCATENATE("Head_",J206,"_",K206)</f>
        <v>Head_Clypeus_midline_present</v>
      </c>
      <c r="S206" t="str">
        <f t="shared" si="3"/>
        <v>resources/images/Head_Clypeus_midline_present.jpg</v>
      </c>
    </row>
    <row r="207" spans="1:19" x14ac:dyDescent="0.2">
      <c r="A207" t="s">
        <v>685</v>
      </c>
      <c r="B207" t="s">
        <v>823</v>
      </c>
      <c r="E207" s="4">
        <v>1</v>
      </c>
      <c r="F207" t="s">
        <v>686</v>
      </c>
      <c r="J207" s="35" t="s">
        <v>142</v>
      </c>
      <c r="K207" s="32" t="s">
        <v>58</v>
      </c>
      <c r="L207" t="str">
        <f t="shared" si="2"/>
        <v>resources/images/Head_Clypeus_midline_absent.jpg</v>
      </c>
      <c r="M207" s="32"/>
      <c r="N207" s="32"/>
      <c r="P207" s="32" t="str">
        <f t="shared" si="6"/>
        <v>Head_Clypeus_midline_absent</v>
      </c>
      <c r="S207" t="str">
        <f t="shared" si="3"/>
        <v>resources/images/Head_Clypeus_midline_absent.jpg</v>
      </c>
    </row>
    <row r="208" spans="1:19" x14ac:dyDescent="0.2">
      <c r="A208" t="s">
        <v>664</v>
      </c>
      <c r="B208" t="s">
        <v>737</v>
      </c>
      <c r="E208" s="4">
        <v>1</v>
      </c>
      <c r="F208" t="s">
        <v>686</v>
      </c>
      <c r="J208" s="11" t="s">
        <v>143</v>
      </c>
      <c r="K208" t="s">
        <v>177</v>
      </c>
      <c r="L208" t="str">
        <f t="shared" si="2"/>
        <v>resources/images/Head_Fovea_color_pale.jpg</v>
      </c>
      <c r="P208" t="str">
        <f t="shared" si="6"/>
        <v>Head_Fovea_color_pale</v>
      </c>
      <c r="S208" t="str">
        <f t="shared" si="3"/>
        <v>resources/images/Head_Fovea_color_pale.jpg</v>
      </c>
    </row>
    <row r="209" spans="1:19" x14ac:dyDescent="0.2">
      <c r="A209" t="s">
        <v>664</v>
      </c>
      <c r="B209" t="s">
        <v>738</v>
      </c>
      <c r="E209" s="4">
        <v>1</v>
      </c>
      <c r="F209" t="s">
        <v>686</v>
      </c>
      <c r="J209" s="11" t="s">
        <v>143</v>
      </c>
      <c r="K209" t="s">
        <v>415</v>
      </c>
      <c r="L209" t="str">
        <f t="shared" si="2"/>
        <v>resources/images/Head_Fovea_color_darkpale.jpg</v>
      </c>
      <c r="P209" t="str">
        <f t="shared" si="6"/>
        <v>Head_Fovea_color_darkpale</v>
      </c>
      <c r="S209" t="str">
        <f t="shared" si="3"/>
        <v>resources/images/Head_Fovea_color_darkpale.jpg</v>
      </c>
    </row>
    <row r="210" spans="1:19" x14ac:dyDescent="0.2">
      <c r="A210" t="s">
        <v>664</v>
      </c>
      <c r="B210" t="s">
        <v>739</v>
      </c>
      <c r="E210" s="4">
        <v>1</v>
      </c>
      <c r="F210" t="s">
        <v>686</v>
      </c>
      <c r="J210" s="11" t="s">
        <v>143</v>
      </c>
      <c r="K210" t="s">
        <v>208</v>
      </c>
      <c r="L210" t="str">
        <f t="shared" si="2"/>
        <v>resources/images/Head_Fovea_color_dark.jpg</v>
      </c>
      <c r="P210" t="str">
        <f t="shared" si="6"/>
        <v>Head_Fovea_color_dark</v>
      </c>
      <c r="S210" t="str">
        <f t="shared" si="3"/>
        <v>resources/images/Head_Fovea_color_dark.jpg</v>
      </c>
    </row>
    <row r="211" spans="1:19" x14ac:dyDescent="0.2">
      <c r="A211" t="s">
        <v>685</v>
      </c>
      <c r="B211" t="s">
        <v>824</v>
      </c>
      <c r="E211" s="4">
        <v>1</v>
      </c>
      <c r="F211" t="s">
        <v>686</v>
      </c>
      <c r="J211" s="35" t="s">
        <v>144</v>
      </c>
      <c r="K211" s="32" t="s">
        <v>211</v>
      </c>
      <c r="L211" t="str">
        <f t="shared" si="2"/>
        <v>resources/images/Head_Fovea_depth_shallow.jpg</v>
      </c>
      <c r="M211" s="32"/>
      <c r="N211" s="32"/>
      <c r="P211" s="32" t="str">
        <f t="shared" si="6"/>
        <v>Head_Fovea_depth_shallow</v>
      </c>
      <c r="S211" t="str">
        <f t="shared" si="3"/>
        <v>resources/images/Head_Fovea_depth_shallow.jpg</v>
      </c>
    </row>
    <row r="212" spans="1:19" x14ac:dyDescent="0.2">
      <c r="A212" t="s">
        <v>664</v>
      </c>
      <c r="B212" t="s">
        <v>740</v>
      </c>
      <c r="E212" s="4">
        <v>1</v>
      </c>
      <c r="F212" t="s">
        <v>686</v>
      </c>
      <c r="J212" s="11" t="s">
        <v>144</v>
      </c>
      <c r="K212" t="s">
        <v>290</v>
      </c>
      <c r="L212" t="str">
        <f t="shared" si="2"/>
        <v>resources/images/Head_Fovea_depth_moderate.jpg</v>
      </c>
      <c r="P212" t="str">
        <f t="shared" si="6"/>
        <v>Head_Fovea_depth_moderate</v>
      </c>
      <c r="S212" t="str">
        <f t="shared" si="3"/>
        <v>resources/images/Head_Fovea_depth_moderate.jpg</v>
      </c>
    </row>
    <row r="213" spans="1:19" x14ac:dyDescent="0.2">
      <c r="A213" t="s">
        <v>664</v>
      </c>
      <c r="B213" t="s">
        <v>741</v>
      </c>
      <c r="E213" s="4">
        <v>1</v>
      </c>
      <c r="F213" t="s">
        <v>686</v>
      </c>
      <c r="J213" s="11" t="s">
        <v>144</v>
      </c>
      <c r="K213" t="s">
        <v>416</v>
      </c>
      <c r="L213" t="str">
        <f t="shared" si="2"/>
        <v>resources/images/Head_Fovea_depth_deep.jpg</v>
      </c>
      <c r="P213" t="str">
        <f t="shared" si="6"/>
        <v>Head_Fovea_depth_deep</v>
      </c>
      <c r="S213" t="str">
        <f t="shared" si="3"/>
        <v>resources/images/Head_Fovea_depth_deep.jpg</v>
      </c>
    </row>
    <row r="214" spans="1:19" x14ac:dyDescent="0.2">
      <c r="A214" t="s">
        <v>685</v>
      </c>
      <c r="B214" t="s">
        <v>959</v>
      </c>
      <c r="E214" s="4">
        <v>1</v>
      </c>
      <c r="F214" t="s">
        <v>686</v>
      </c>
      <c r="J214" s="35" t="s">
        <v>145</v>
      </c>
      <c r="K214" s="32" t="s">
        <v>207</v>
      </c>
      <c r="L214" t="str">
        <f t="shared" si="2"/>
        <v>resources/images/Head_Fovea_length_short.jpg</v>
      </c>
      <c r="M214" s="32"/>
      <c r="N214" s="32"/>
      <c r="P214" s="32" t="str">
        <f t="shared" si="6"/>
        <v>Head_Fovea_length_short</v>
      </c>
      <c r="S214" t="str">
        <f t="shared" si="3"/>
        <v>resources/images/Head_Fovea_length_short.jpg</v>
      </c>
    </row>
    <row r="215" spans="1:19" x14ac:dyDescent="0.2">
      <c r="A215" t="s">
        <v>664</v>
      </c>
      <c r="B215" t="s">
        <v>742</v>
      </c>
      <c r="E215" s="4">
        <v>1</v>
      </c>
      <c r="F215" t="s">
        <v>686</v>
      </c>
      <c r="J215" s="11" t="s">
        <v>145</v>
      </c>
      <c r="K215" t="s">
        <v>290</v>
      </c>
      <c r="L215" t="str">
        <f t="shared" si="2"/>
        <v>resources/images/Head_Fovea_length_moderate.jpg</v>
      </c>
      <c r="P215" t="str">
        <f t="shared" si="6"/>
        <v>Head_Fovea_length_moderate</v>
      </c>
      <c r="S215" t="str">
        <f t="shared" si="3"/>
        <v>resources/images/Head_Fovea_length_moderate.jpg</v>
      </c>
    </row>
    <row r="216" spans="1:19" x14ac:dyDescent="0.2">
      <c r="A216" t="s">
        <v>664</v>
      </c>
      <c r="B216" t="s">
        <v>743</v>
      </c>
      <c r="E216" s="4">
        <v>1</v>
      </c>
      <c r="F216" t="s">
        <v>686</v>
      </c>
      <c r="J216" s="11" t="s">
        <v>145</v>
      </c>
      <c r="K216" t="s">
        <v>225</v>
      </c>
      <c r="L216" t="str">
        <f t="shared" si="2"/>
        <v>resources/images/Head_Fovea_length_long.jpg</v>
      </c>
      <c r="P216" t="str">
        <f t="shared" si="6"/>
        <v>Head_Fovea_length_long</v>
      </c>
      <c r="S216" t="str">
        <f t="shared" si="3"/>
        <v>resources/images/Head_Fovea_length_long.jpg</v>
      </c>
    </row>
    <row r="217" spans="1:19" x14ac:dyDescent="0.2">
      <c r="A217" t="s">
        <v>685</v>
      </c>
      <c r="B217" t="s">
        <v>825</v>
      </c>
      <c r="E217" s="4">
        <v>1</v>
      </c>
      <c r="F217" t="s">
        <v>686</v>
      </c>
      <c r="J217" s="35" t="s">
        <v>145</v>
      </c>
      <c r="K217" s="32" t="s">
        <v>350</v>
      </c>
      <c r="L217" t="str">
        <f t="shared" si="2"/>
        <v>resources/images/Head_Fovea_length_xlong.jpg</v>
      </c>
      <c r="M217" s="32"/>
      <c r="N217" s="32"/>
      <c r="P217" s="32" t="str">
        <f t="shared" si="6"/>
        <v>Head_Fovea_length_xlong</v>
      </c>
      <c r="S217" t="str">
        <f t="shared" si="3"/>
        <v>resources/images/Head_Fovea_length_xlong.jpg</v>
      </c>
    </row>
    <row r="218" spans="1:19" x14ac:dyDescent="0.2">
      <c r="A218" t="s">
        <v>685</v>
      </c>
      <c r="B218" t="s">
        <v>744</v>
      </c>
      <c r="E218" s="4">
        <v>1</v>
      </c>
      <c r="F218" t="s">
        <v>686</v>
      </c>
      <c r="J218" s="35" t="s">
        <v>185</v>
      </c>
      <c r="K218" s="32" t="s">
        <v>328</v>
      </c>
      <c r="L218" t="str">
        <f t="shared" si="2"/>
        <v>resources/images/Head_Fovea_distance_equal.jpg</v>
      </c>
      <c r="M218" s="32"/>
      <c r="N218" s="32"/>
      <c r="P218" s="32" t="str">
        <f t="shared" si="6"/>
        <v>Head_Fovea_distance_equal</v>
      </c>
      <c r="S218" t="str">
        <f t="shared" si="3"/>
        <v>resources/images/Head_Fovea_distance_equal.jpg</v>
      </c>
    </row>
    <row r="219" spans="1:19" x14ac:dyDescent="0.2">
      <c r="A219" t="s">
        <v>664</v>
      </c>
      <c r="B219" t="s">
        <v>745</v>
      </c>
      <c r="E219" s="4">
        <v>1</v>
      </c>
      <c r="F219" t="s">
        <v>686</v>
      </c>
      <c r="J219" s="11" t="s">
        <v>185</v>
      </c>
      <c r="K219" t="s">
        <v>308</v>
      </c>
      <c r="L219" t="str">
        <f t="shared" si="2"/>
        <v>resources/images/Head_Fovea_distance_more.jpg</v>
      </c>
      <c r="P219" t="str">
        <f t="shared" si="6"/>
        <v>Head_Fovea_distance_more</v>
      </c>
      <c r="S219" t="str">
        <f t="shared" si="3"/>
        <v>resources/images/Head_Fovea_distance_more.jpg</v>
      </c>
    </row>
    <row r="220" spans="1:19" x14ac:dyDescent="0.2">
      <c r="A220" t="s">
        <v>664</v>
      </c>
      <c r="B220" t="s">
        <v>746</v>
      </c>
      <c r="E220" s="4">
        <v>1</v>
      </c>
      <c r="F220" t="s">
        <v>686</v>
      </c>
      <c r="J220" s="11" t="s">
        <v>185</v>
      </c>
      <c r="K220" t="s">
        <v>299</v>
      </c>
      <c r="L220" t="str">
        <f t="shared" si="2"/>
        <v>resources/images/Head_Fovea_distance_less.jpg</v>
      </c>
      <c r="P220" t="str">
        <f t="shared" si="6"/>
        <v>Head_Fovea_distance_less</v>
      </c>
      <c r="S220" t="str">
        <f t="shared" si="3"/>
        <v>resources/images/Head_Fovea_distance_less.jpg</v>
      </c>
    </row>
    <row r="221" spans="1:19" x14ac:dyDescent="0.2">
      <c r="A221" t="s">
        <v>664</v>
      </c>
      <c r="B221" t="s">
        <v>747</v>
      </c>
      <c r="E221" s="4">
        <v>1</v>
      </c>
      <c r="F221" t="s">
        <v>686</v>
      </c>
      <c r="J221" s="11" t="s">
        <v>146</v>
      </c>
      <c r="K221" t="s">
        <v>404</v>
      </c>
      <c r="L221" t="str">
        <f t="shared" si="2"/>
        <v>resources/images/Head_Fovea_width_narrow.jpg</v>
      </c>
      <c r="P221" t="str">
        <f t="shared" si="6"/>
        <v>Head_Fovea_width_narrow</v>
      </c>
      <c r="S221" t="str">
        <f t="shared" si="3"/>
        <v>resources/images/Head_Fovea_width_narrow.jpg</v>
      </c>
    </row>
    <row r="222" spans="1:19" x14ac:dyDescent="0.2">
      <c r="A222" t="s">
        <v>664</v>
      </c>
      <c r="B222" t="s">
        <v>748</v>
      </c>
      <c r="E222" s="4">
        <v>1</v>
      </c>
      <c r="F222" t="s">
        <v>686</v>
      </c>
      <c r="J222" s="11" t="s">
        <v>146</v>
      </c>
      <c r="K222" t="s">
        <v>404</v>
      </c>
      <c r="L222" t="str">
        <f t="shared" si="2"/>
        <v>resources/images/Head_Fovea_width_narrow_2.jpg</v>
      </c>
      <c r="P222" t="s">
        <v>677</v>
      </c>
      <c r="S222" t="str">
        <f t="shared" si="3"/>
        <v>resources/images/Head_Fovea_width_narrow_2.jpg</v>
      </c>
    </row>
    <row r="223" spans="1:19" x14ac:dyDescent="0.2">
      <c r="A223" t="s">
        <v>664</v>
      </c>
      <c r="B223" t="s">
        <v>749</v>
      </c>
      <c r="E223" s="4">
        <v>1</v>
      </c>
      <c r="F223" t="s">
        <v>686</v>
      </c>
      <c r="J223" s="11" t="s">
        <v>146</v>
      </c>
      <c r="K223" t="s">
        <v>404</v>
      </c>
      <c r="L223" t="str">
        <f t="shared" si="2"/>
        <v>resources/images/Head_Fovea_width_narrow_3.jpg</v>
      </c>
      <c r="P223" t="s">
        <v>680</v>
      </c>
      <c r="S223" t="str">
        <f t="shared" si="3"/>
        <v>resources/images/Head_Fovea_width_narrow_3.jpg</v>
      </c>
    </row>
    <row r="224" spans="1:19" x14ac:dyDescent="0.2">
      <c r="A224" t="s">
        <v>664</v>
      </c>
      <c r="B224" t="s">
        <v>750</v>
      </c>
      <c r="E224" s="4">
        <v>1</v>
      </c>
      <c r="F224" t="s">
        <v>686</v>
      </c>
      <c r="J224" s="11" t="s">
        <v>146</v>
      </c>
      <c r="K224" t="s">
        <v>290</v>
      </c>
      <c r="L224" t="str">
        <f t="shared" si="2"/>
        <v>resources/images/Head_Fovea_width_moderate.jpg</v>
      </c>
      <c r="P224" t="str">
        <f t="shared" ref="P224:P236" si="7">CONCATENATE("Head_",J224,"_",K224)</f>
        <v>Head_Fovea_width_moderate</v>
      </c>
      <c r="S224" t="str">
        <f t="shared" si="3"/>
        <v>resources/images/Head_Fovea_width_moderate.jpg</v>
      </c>
    </row>
    <row r="225" spans="1:19" x14ac:dyDescent="0.2">
      <c r="A225" t="s">
        <v>685</v>
      </c>
      <c r="B225" t="s">
        <v>960</v>
      </c>
      <c r="E225" s="4">
        <v>1</v>
      </c>
      <c r="F225" t="s">
        <v>686</v>
      </c>
      <c r="J225" s="35" t="s">
        <v>146</v>
      </c>
      <c r="K225" s="32" t="s">
        <v>253</v>
      </c>
      <c r="L225" t="str">
        <f t="shared" si="2"/>
        <v>resources/images/Head_Fovea_width_broad.jpg</v>
      </c>
      <c r="M225" s="32"/>
      <c r="N225" s="32"/>
      <c r="P225" s="32" t="str">
        <f t="shared" si="7"/>
        <v>Head_Fovea_width_broad</v>
      </c>
      <c r="S225" t="str">
        <f t="shared" si="3"/>
        <v>resources/images/Head_Fovea_width_broad.jpg</v>
      </c>
    </row>
    <row r="226" spans="1:19" x14ac:dyDescent="0.2">
      <c r="A226" t="s">
        <v>664</v>
      </c>
      <c r="B226" t="s">
        <v>751</v>
      </c>
      <c r="E226" s="4">
        <v>1</v>
      </c>
      <c r="F226" t="s">
        <v>686</v>
      </c>
      <c r="J226" s="11" t="s">
        <v>147</v>
      </c>
      <c r="K226" t="s">
        <v>250</v>
      </c>
      <c r="L226" t="str">
        <f t="shared" si="2"/>
        <v>resources/images/Head_Head_dimensions_quadrate.jpg</v>
      </c>
      <c r="P226" t="str">
        <f t="shared" si="7"/>
        <v>Head_Head_dimensions_quadrate</v>
      </c>
      <c r="S226" t="str">
        <f t="shared" si="3"/>
        <v>resources/images/Head_Head_dimensions_quadrate.jpg</v>
      </c>
    </row>
    <row r="227" spans="1:19" x14ac:dyDescent="0.2">
      <c r="A227" t="s">
        <v>664</v>
      </c>
      <c r="B227" t="s">
        <v>752</v>
      </c>
      <c r="E227" s="4">
        <v>1</v>
      </c>
      <c r="F227" t="s">
        <v>686</v>
      </c>
      <c r="J227" s="11" t="s">
        <v>147</v>
      </c>
      <c r="K227" t="s">
        <v>253</v>
      </c>
      <c r="L227" t="str">
        <f t="shared" si="2"/>
        <v>resources/images/Head_Head_dimensions_broad.jpg</v>
      </c>
      <c r="P227" t="str">
        <f t="shared" si="7"/>
        <v>Head_Head_dimensions_broad</v>
      </c>
      <c r="S227" t="str">
        <f t="shared" si="3"/>
        <v>resources/images/Head_Head_dimensions_broad.jpg</v>
      </c>
    </row>
    <row r="228" spans="1:19" x14ac:dyDescent="0.2">
      <c r="A228" t="s">
        <v>685</v>
      </c>
      <c r="B228" t="s">
        <v>933</v>
      </c>
      <c r="E228" s="4">
        <v>1</v>
      </c>
      <c r="F228" t="s">
        <v>686</v>
      </c>
      <c r="J228" s="35" t="s">
        <v>147</v>
      </c>
      <c r="K228" s="32" t="s">
        <v>225</v>
      </c>
      <c r="L228" t="str">
        <f t="shared" si="2"/>
        <v>resources/images/Head_Head_dimensions_long.jpg</v>
      </c>
      <c r="M228" s="32"/>
      <c r="N228" s="32"/>
      <c r="P228" s="32" t="str">
        <f t="shared" si="7"/>
        <v>Head_Head_dimensions_long</v>
      </c>
      <c r="S228" t="str">
        <f t="shared" si="3"/>
        <v>resources/images/Head_Head_dimensions_long.jpg</v>
      </c>
    </row>
    <row r="229" spans="1:19" x14ac:dyDescent="0.2">
      <c r="A229" t="s">
        <v>664</v>
      </c>
      <c r="B229" t="s">
        <v>753</v>
      </c>
      <c r="E229" s="4">
        <v>1</v>
      </c>
      <c r="F229" t="s">
        <v>686</v>
      </c>
      <c r="J229" s="11" t="s">
        <v>148</v>
      </c>
      <c r="K229" t="s">
        <v>179</v>
      </c>
      <c r="L229" t="str">
        <f t="shared" si="2"/>
        <v>resources/images/Head_Galea_shape_normal.jpg</v>
      </c>
      <c r="P229" t="str">
        <f t="shared" si="7"/>
        <v>Head_Galea_shape_normal</v>
      </c>
      <c r="S229" t="str">
        <f t="shared" si="3"/>
        <v>resources/images/Head_Galea_shape_normal.jpg</v>
      </c>
    </row>
    <row r="230" spans="1:19" x14ac:dyDescent="0.2">
      <c r="A230" t="s">
        <v>685</v>
      </c>
      <c r="B230" t="s">
        <v>963</v>
      </c>
      <c r="E230" s="4">
        <v>1</v>
      </c>
      <c r="F230" t="s">
        <v>686</v>
      </c>
      <c r="J230" s="35" t="s">
        <v>148</v>
      </c>
      <c r="K230" s="32" t="s">
        <v>417</v>
      </c>
      <c r="L230" t="str">
        <f t="shared" si="2"/>
        <v>resources/images/Head_Galea_shape_spear.jpg</v>
      </c>
      <c r="M230" s="32"/>
      <c r="N230" s="32"/>
      <c r="P230" s="32" t="str">
        <f t="shared" si="7"/>
        <v>Head_Galea_shape_spear</v>
      </c>
      <c r="S230" t="str">
        <f t="shared" si="3"/>
        <v>resources/images/Head_Galea_shape_spear.jpg</v>
      </c>
    </row>
    <row r="231" spans="1:19" x14ac:dyDescent="0.2">
      <c r="A231" t="s">
        <v>664</v>
      </c>
      <c r="B231" t="s">
        <v>754</v>
      </c>
      <c r="E231" s="4">
        <v>1</v>
      </c>
      <c r="F231" t="s">
        <v>686</v>
      </c>
      <c r="J231" s="11" t="s">
        <v>149</v>
      </c>
      <c r="K231" t="s">
        <v>225</v>
      </c>
      <c r="L231" t="str">
        <f t="shared" si="2"/>
        <v>resources/images/Head_Labral_length_long.jpg</v>
      </c>
      <c r="P231" t="str">
        <f t="shared" si="7"/>
        <v>Head_Labral_length_long</v>
      </c>
      <c r="S231" t="str">
        <f t="shared" si="3"/>
        <v>resources/images/Head_Labral_length_long.jpg</v>
      </c>
    </row>
    <row r="232" spans="1:19" x14ac:dyDescent="0.2">
      <c r="A232" t="s">
        <v>664</v>
      </c>
      <c r="B232" t="s">
        <v>755</v>
      </c>
      <c r="E232" s="4">
        <v>1</v>
      </c>
      <c r="F232" t="s">
        <v>686</v>
      </c>
      <c r="J232" s="11" t="s">
        <v>149</v>
      </c>
      <c r="K232" t="s">
        <v>290</v>
      </c>
      <c r="L232" t="str">
        <f t="shared" si="2"/>
        <v>resources/images/Head_Labral_length_moderate.jpg</v>
      </c>
      <c r="P232" t="str">
        <f t="shared" si="7"/>
        <v>Head_Labral_length_moderate</v>
      </c>
      <c r="S232" t="str">
        <f t="shared" si="3"/>
        <v>resources/images/Head_Labral_length_moderate.jpg</v>
      </c>
    </row>
    <row r="233" spans="1:19" x14ac:dyDescent="0.2">
      <c r="A233" t="s">
        <v>664</v>
      </c>
      <c r="B233" t="s">
        <v>756</v>
      </c>
      <c r="E233" s="4">
        <v>1</v>
      </c>
      <c r="F233" t="s">
        <v>686</v>
      </c>
      <c r="J233" s="11" t="s">
        <v>149</v>
      </c>
      <c r="K233" t="s">
        <v>207</v>
      </c>
      <c r="L233" t="str">
        <f t="shared" si="2"/>
        <v>resources/images/Head_Labral_length_short.jpg</v>
      </c>
      <c r="P233" t="str">
        <f t="shared" si="7"/>
        <v>Head_Labral_length_short</v>
      </c>
      <c r="S233" t="str">
        <f t="shared" si="3"/>
        <v>resources/images/Head_Labral_length_short.jpg</v>
      </c>
    </row>
    <row r="234" spans="1:19" x14ac:dyDescent="0.2">
      <c r="A234" t="s">
        <v>664</v>
      </c>
      <c r="B234" t="s">
        <v>757</v>
      </c>
      <c r="E234" s="4">
        <v>1</v>
      </c>
      <c r="F234" t="s">
        <v>686</v>
      </c>
      <c r="J234" s="11" t="s">
        <v>150</v>
      </c>
      <c r="K234" t="s">
        <v>344</v>
      </c>
      <c r="L234" t="str">
        <f t="shared" si="2"/>
        <v>resources/images/Head_Labral_margin_entire.jpg</v>
      </c>
      <c r="P234" t="str">
        <f t="shared" si="7"/>
        <v>Head_Labral_margin_entire</v>
      </c>
      <c r="S234" t="str">
        <f t="shared" si="3"/>
        <v>resources/images/Head_Labral_margin_entire.jpg</v>
      </c>
    </row>
    <row r="235" spans="1:19" x14ac:dyDescent="0.2">
      <c r="A235" t="s">
        <v>685</v>
      </c>
      <c r="B235" t="s">
        <v>961</v>
      </c>
      <c r="E235" s="4">
        <v>1</v>
      </c>
      <c r="F235" t="s">
        <v>686</v>
      </c>
      <c r="J235" s="35" t="s">
        <v>150</v>
      </c>
      <c r="K235" s="32" t="s">
        <v>336</v>
      </c>
      <c r="L235" t="str">
        <f t="shared" si="2"/>
        <v>resources/images/Head_Labral_margin_weak.jpg</v>
      </c>
      <c r="M235" s="32"/>
      <c r="N235" s="32"/>
      <c r="P235" s="32" t="str">
        <f t="shared" si="7"/>
        <v>Head_Labral_margin_weak</v>
      </c>
      <c r="S235" t="str">
        <f t="shared" si="3"/>
        <v>resources/images/Head_Labral_margin_weak.jpg</v>
      </c>
    </row>
    <row r="236" spans="1:19" x14ac:dyDescent="0.2">
      <c r="A236" t="s">
        <v>664</v>
      </c>
      <c r="B236" t="s">
        <v>758</v>
      </c>
      <c r="E236" s="4">
        <v>1</v>
      </c>
      <c r="F236" t="s">
        <v>686</v>
      </c>
      <c r="J236" s="11" t="s">
        <v>150</v>
      </c>
      <c r="K236" t="s">
        <v>330</v>
      </c>
      <c r="L236" t="str">
        <f t="shared" si="2"/>
        <v>resources/images/Head_Labral_margin_emarginate.jpg</v>
      </c>
      <c r="P236" t="str">
        <f t="shared" si="7"/>
        <v>Head_Labral_margin_emarginate</v>
      </c>
      <c r="S236" t="str">
        <f t="shared" si="3"/>
        <v>resources/images/Head_Labral_margin_emarginate.jpg</v>
      </c>
    </row>
    <row r="237" spans="1:19" x14ac:dyDescent="0.2">
      <c r="A237" t="s">
        <v>664</v>
      </c>
      <c r="B237" t="s">
        <v>759</v>
      </c>
      <c r="E237" s="4">
        <v>1</v>
      </c>
      <c r="F237" t="s">
        <v>686</v>
      </c>
      <c r="J237" s="11" t="s">
        <v>150</v>
      </c>
      <c r="K237" t="s">
        <v>330</v>
      </c>
      <c r="L237" t="str">
        <f t="shared" si="2"/>
        <v>resources/images/Head_Labral_margin_emarginate_2.jpg</v>
      </c>
      <c r="P237" t="s">
        <v>665</v>
      </c>
      <c r="S237" t="str">
        <f t="shared" si="3"/>
        <v>resources/images/Head_Labral_margin_emarginate_2.jpg</v>
      </c>
    </row>
    <row r="238" spans="1:19" x14ac:dyDescent="0.2">
      <c r="A238" t="s">
        <v>667</v>
      </c>
      <c r="B238" t="s">
        <v>760</v>
      </c>
      <c r="E238" s="4">
        <v>1</v>
      </c>
      <c r="F238" t="s">
        <v>686</v>
      </c>
      <c r="J238" s="11" t="s">
        <v>150</v>
      </c>
      <c r="K238" t="s">
        <v>192</v>
      </c>
      <c r="L238" t="str">
        <f t="shared" si="2"/>
        <v>resources/images/Head_Labral_margin_bidentate.jpg</v>
      </c>
      <c r="P238" t="str">
        <f>CONCATENATE("Head_",J238,"_",K238)</f>
        <v>Head_Labral_margin_bidentate</v>
      </c>
      <c r="S238" t="str">
        <f t="shared" si="3"/>
        <v>resources/images/Head_Labral_margin_bidentate.jpg</v>
      </c>
    </row>
    <row r="239" spans="1:19" x14ac:dyDescent="0.2">
      <c r="A239" t="s">
        <v>664</v>
      </c>
      <c r="B239" t="s">
        <v>761</v>
      </c>
      <c r="E239" s="4">
        <v>1</v>
      </c>
      <c r="F239" t="s">
        <v>686</v>
      </c>
      <c r="J239" s="11" t="s">
        <v>150</v>
      </c>
      <c r="K239" t="s">
        <v>192</v>
      </c>
      <c r="L239" t="str">
        <f t="shared" si="2"/>
        <v>resources/images/Head_Labral_margin_bidentate_2.jpg</v>
      </c>
      <c r="P239" t="s">
        <v>679</v>
      </c>
      <c r="S239" t="str">
        <f t="shared" si="3"/>
        <v>resources/images/Head_Labral_margin_bidentate_2.jpg</v>
      </c>
    </row>
    <row r="240" spans="1:19" x14ac:dyDescent="0.2">
      <c r="A240" t="s">
        <v>685</v>
      </c>
      <c r="B240" t="s">
        <v>928</v>
      </c>
      <c r="E240" s="4">
        <v>1</v>
      </c>
      <c r="F240" t="s">
        <v>686</v>
      </c>
      <c r="J240" s="35" t="s">
        <v>150</v>
      </c>
      <c r="K240" s="32" t="s">
        <v>418</v>
      </c>
      <c r="L240" t="str">
        <f t="shared" ref="L240:L303" si="8">IF(I240="###",CONCATENATE("#",S240,),S240)</f>
        <v>resources/images/Head_Labral_margin_pointed.jpg</v>
      </c>
      <c r="M240" s="32"/>
      <c r="N240" s="32"/>
      <c r="P240" s="32" t="str">
        <f t="shared" ref="P240:P254" si="9">CONCATENATE("Head_",J240,"_",K240)</f>
        <v>Head_Labral_margin_pointed</v>
      </c>
      <c r="S240" t="str">
        <f t="shared" ref="S240:S303" si="10">CONCATENATE("resources/images/",P240,".jpg")</f>
        <v>resources/images/Head_Labral_margin_pointed.jpg</v>
      </c>
    </row>
    <row r="241" spans="1:19" x14ac:dyDescent="0.2">
      <c r="A241" t="s">
        <v>664</v>
      </c>
      <c r="B241" t="s">
        <v>762</v>
      </c>
      <c r="E241" s="4">
        <v>1</v>
      </c>
      <c r="F241" t="s">
        <v>686</v>
      </c>
      <c r="J241" s="11" t="s">
        <v>74</v>
      </c>
      <c r="K241" t="s">
        <v>335</v>
      </c>
      <c r="L241" t="str">
        <f t="shared" si="8"/>
        <v>resources/images/Head_Malar_xshort.jpg</v>
      </c>
      <c r="P241" t="str">
        <f t="shared" si="9"/>
        <v>Head_Malar_xshort</v>
      </c>
      <c r="S241" t="str">
        <f t="shared" si="10"/>
        <v>resources/images/Head_Malar_xshort.jpg</v>
      </c>
    </row>
    <row r="242" spans="1:19" x14ac:dyDescent="0.2">
      <c r="A242" t="s">
        <v>664</v>
      </c>
      <c r="B242" t="s">
        <v>763</v>
      </c>
      <c r="E242" s="4">
        <v>1</v>
      </c>
      <c r="F242" t="s">
        <v>686</v>
      </c>
      <c r="J242" s="11" t="s">
        <v>74</v>
      </c>
      <c r="K242" t="s">
        <v>207</v>
      </c>
      <c r="L242" t="str">
        <f t="shared" si="8"/>
        <v>resources/images/Head_Malar_short.jpg</v>
      </c>
      <c r="P242" t="str">
        <f t="shared" si="9"/>
        <v>Head_Malar_short</v>
      </c>
      <c r="S242" t="str">
        <f t="shared" si="10"/>
        <v>resources/images/Head_Malar_short.jpg</v>
      </c>
    </row>
    <row r="243" spans="1:19" x14ac:dyDescent="0.2">
      <c r="A243" t="s">
        <v>685</v>
      </c>
      <c r="B243" t="s">
        <v>929</v>
      </c>
      <c r="E243" s="4">
        <v>1</v>
      </c>
      <c r="F243" t="s">
        <v>686</v>
      </c>
      <c r="J243" s="35" t="s">
        <v>74</v>
      </c>
      <c r="K243" s="32" t="s">
        <v>290</v>
      </c>
      <c r="L243" t="str">
        <f t="shared" si="8"/>
        <v>resources/images/Head_Malar_moderate.jpg</v>
      </c>
      <c r="M243" s="32"/>
      <c r="N243" s="32"/>
      <c r="P243" s="32" t="str">
        <f t="shared" si="9"/>
        <v>Head_Malar_moderate</v>
      </c>
      <c r="S243" t="str">
        <f t="shared" si="10"/>
        <v>resources/images/Head_Malar_moderate.jpg</v>
      </c>
    </row>
    <row r="244" spans="1:19" x14ac:dyDescent="0.2">
      <c r="A244" t="s">
        <v>685</v>
      </c>
      <c r="B244" t="s">
        <v>930</v>
      </c>
      <c r="E244" s="4">
        <v>1</v>
      </c>
      <c r="F244" t="s">
        <v>686</v>
      </c>
      <c r="J244" s="35" t="s">
        <v>74</v>
      </c>
      <c r="K244" s="32" t="s">
        <v>225</v>
      </c>
      <c r="L244" t="str">
        <f t="shared" si="8"/>
        <v>resources/images/Head_Malar_long.jpg</v>
      </c>
      <c r="M244" s="32"/>
      <c r="N244" s="32"/>
      <c r="P244" s="32" t="str">
        <f t="shared" si="9"/>
        <v>Head_Malar_long</v>
      </c>
      <c r="S244" t="str">
        <f t="shared" si="10"/>
        <v>resources/images/Head_Malar_long.jpg</v>
      </c>
    </row>
    <row r="245" spans="1:19" x14ac:dyDescent="0.2">
      <c r="A245" t="s">
        <v>664</v>
      </c>
      <c r="B245" t="s">
        <v>764</v>
      </c>
      <c r="E245" s="4">
        <v>1</v>
      </c>
      <c r="F245" t="s">
        <v>686</v>
      </c>
      <c r="J245" s="11" t="s">
        <v>74</v>
      </c>
      <c r="K245" t="s">
        <v>350</v>
      </c>
      <c r="L245" t="str">
        <f t="shared" si="8"/>
        <v>resources/images/Head_Malar_xlong.jpg</v>
      </c>
      <c r="P245" t="str">
        <f t="shared" si="9"/>
        <v>Head_Malar_xlong</v>
      </c>
      <c r="S245" t="str">
        <f t="shared" si="10"/>
        <v>resources/images/Head_Malar_xlong.jpg</v>
      </c>
    </row>
    <row r="246" spans="1:19" x14ac:dyDescent="0.2">
      <c r="A246" t="s">
        <v>664</v>
      </c>
      <c r="B246" t="s">
        <v>765</v>
      </c>
      <c r="E246" s="4">
        <v>1</v>
      </c>
      <c r="F246" t="s">
        <v>686</v>
      </c>
      <c r="J246" s="11" t="s">
        <v>151</v>
      </c>
      <c r="K246" t="s">
        <v>192</v>
      </c>
      <c r="L246" t="str">
        <f t="shared" si="8"/>
        <v>resources/images/Head_Mandible_apex_bidentate.jpg</v>
      </c>
      <c r="P246" t="str">
        <f t="shared" si="9"/>
        <v>Head_Mandible_apex_bidentate</v>
      </c>
      <c r="S246" t="str">
        <f t="shared" si="10"/>
        <v>resources/images/Head_Mandible_apex_bidentate.jpg</v>
      </c>
    </row>
    <row r="247" spans="1:19" x14ac:dyDescent="0.2">
      <c r="A247" t="s">
        <v>685</v>
      </c>
      <c r="B247" t="s">
        <v>931</v>
      </c>
      <c r="E247" s="4">
        <v>1</v>
      </c>
      <c r="F247" t="s">
        <v>686</v>
      </c>
      <c r="J247" s="35" t="s">
        <v>151</v>
      </c>
      <c r="K247" s="32" t="s">
        <v>419</v>
      </c>
      <c r="L247" t="str">
        <f t="shared" si="8"/>
        <v>resources/images/Head_Mandible_apex_tridentate.jpg</v>
      </c>
      <c r="M247" s="32"/>
      <c r="N247" s="32"/>
      <c r="P247" s="32" t="str">
        <f t="shared" si="9"/>
        <v>Head_Mandible_apex_tridentate</v>
      </c>
      <c r="S247" t="str">
        <f t="shared" si="10"/>
        <v>resources/images/Head_Mandible_apex_tridentate.jpg</v>
      </c>
    </row>
    <row r="248" spans="1:19" x14ac:dyDescent="0.2">
      <c r="A248" t="s">
        <v>664</v>
      </c>
      <c r="B248" t="s">
        <v>766</v>
      </c>
      <c r="E248" s="4">
        <v>1</v>
      </c>
      <c r="F248" t="s">
        <v>686</v>
      </c>
      <c r="J248" s="11" t="s">
        <v>152</v>
      </c>
      <c r="K248" t="s">
        <v>218</v>
      </c>
      <c r="L248" t="str">
        <f t="shared" si="8"/>
        <v>resources/images/Head_Mandible_lamella_present.jpg</v>
      </c>
      <c r="P248" t="str">
        <f t="shared" si="9"/>
        <v>Head_Mandible_lamella_present</v>
      </c>
      <c r="S248" t="str">
        <f t="shared" si="10"/>
        <v>resources/images/Head_Mandible_lamella_present.jpg</v>
      </c>
    </row>
    <row r="249" spans="1:19" x14ac:dyDescent="0.2">
      <c r="A249" t="s">
        <v>685</v>
      </c>
      <c r="B249" t="s">
        <v>932</v>
      </c>
      <c r="E249" s="4">
        <v>1</v>
      </c>
      <c r="F249" t="s">
        <v>686</v>
      </c>
      <c r="J249" s="35" t="s">
        <v>152</v>
      </c>
      <c r="K249" s="32" t="s">
        <v>351</v>
      </c>
      <c r="L249" t="str">
        <f t="shared" si="8"/>
        <v>resources/images/Head_Mandible_lamella_present_broad.jpg</v>
      </c>
      <c r="M249" s="32"/>
      <c r="N249" s="32"/>
      <c r="P249" s="32" t="str">
        <f t="shared" si="9"/>
        <v>Head_Mandible_lamella_present_broad</v>
      </c>
      <c r="S249" t="str">
        <f t="shared" si="10"/>
        <v>resources/images/Head_Mandible_lamella_present_broad.jpg</v>
      </c>
    </row>
    <row r="250" spans="1:19" x14ac:dyDescent="0.2">
      <c r="A250" t="s">
        <v>667</v>
      </c>
      <c r="B250" t="s">
        <v>767</v>
      </c>
      <c r="E250" s="4">
        <v>1</v>
      </c>
      <c r="F250" t="s">
        <v>686</v>
      </c>
      <c r="J250" s="11" t="s">
        <v>152</v>
      </c>
      <c r="K250" t="s">
        <v>206</v>
      </c>
      <c r="L250" t="str">
        <f t="shared" si="8"/>
        <v>resources/images/Head_Mandible_lamella_none.jpg</v>
      </c>
      <c r="P250" t="str">
        <f t="shared" si="9"/>
        <v>Head_Mandible_lamella_none</v>
      </c>
      <c r="S250" t="str">
        <f t="shared" si="10"/>
        <v>resources/images/Head_Mandible_lamella_none.jpg</v>
      </c>
    </row>
    <row r="251" spans="1:19" x14ac:dyDescent="0.2">
      <c r="A251" t="s">
        <v>685</v>
      </c>
      <c r="B251" t="s">
        <v>957</v>
      </c>
      <c r="E251" s="4">
        <v>1</v>
      </c>
      <c r="F251" t="s">
        <v>686</v>
      </c>
      <c r="J251" s="35" t="s">
        <v>152</v>
      </c>
      <c r="K251" s="32" t="s">
        <v>420</v>
      </c>
      <c r="L251" t="str">
        <f t="shared" si="8"/>
        <v>resources/images/Head_Mandible_lamella_tooth.jpg</v>
      </c>
      <c r="M251" s="32"/>
      <c r="N251" s="32"/>
      <c r="P251" s="32" t="str">
        <f t="shared" si="9"/>
        <v>Head_Mandible_lamella_tooth</v>
      </c>
      <c r="S251" t="str">
        <f t="shared" si="10"/>
        <v>resources/images/Head_Mandible_lamella_tooth.jpg</v>
      </c>
    </row>
    <row r="252" spans="1:19" x14ac:dyDescent="0.2">
      <c r="A252" t="s">
        <v>664</v>
      </c>
      <c r="B252" t="s">
        <v>768</v>
      </c>
      <c r="E252" s="4">
        <v>1</v>
      </c>
      <c r="F252" t="s">
        <v>686</v>
      </c>
      <c r="J252" s="11" t="s">
        <v>153</v>
      </c>
      <c r="K252" t="s">
        <v>421</v>
      </c>
      <c r="L252" t="str">
        <f t="shared" si="8"/>
        <v>resources/images/Head_Maxpalp_length_2x galea.jpg</v>
      </c>
      <c r="P252" t="str">
        <f t="shared" si="9"/>
        <v>Head_Maxpalp_length_2x galea</v>
      </c>
      <c r="S252" t="str">
        <f t="shared" si="10"/>
        <v>resources/images/Head_Maxpalp_length_2x galea.jpg</v>
      </c>
    </row>
    <row r="253" spans="1:19" x14ac:dyDescent="0.2">
      <c r="A253" t="s">
        <v>685</v>
      </c>
      <c r="B253" t="s">
        <v>956</v>
      </c>
      <c r="E253" s="4">
        <v>1</v>
      </c>
      <c r="F253" t="s">
        <v>686</v>
      </c>
      <c r="J253" s="35" t="s">
        <v>153</v>
      </c>
      <c r="K253" s="32" t="s">
        <v>422</v>
      </c>
      <c r="L253" t="str">
        <f t="shared" si="8"/>
        <v>resources/images/Head_Maxpalp_length_3x galea.jpg</v>
      </c>
      <c r="M253" s="32"/>
      <c r="N253" s="32"/>
      <c r="P253" s="32" t="str">
        <f t="shared" si="9"/>
        <v>Head_Maxpalp_length_3x galea</v>
      </c>
      <c r="S253" t="str">
        <f t="shared" si="10"/>
        <v>resources/images/Head_Maxpalp_length_3x galea.jpg</v>
      </c>
    </row>
    <row r="254" spans="1:19" x14ac:dyDescent="0.2">
      <c r="A254" t="s">
        <v>685</v>
      </c>
      <c r="B254" t="s">
        <v>955</v>
      </c>
      <c r="E254" s="4">
        <v>1</v>
      </c>
      <c r="F254" t="s">
        <v>686</v>
      </c>
      <c r="J254" s="35" t="s">
        <v>153</v>
      </c>
      <c r="K254" s="32" t="s">
        <v>207</v>
      </c>
      <c r="L254" t="str">
        <f t="shared" si="8"/>
        <v>resources/images/Head_Maxpalp_length_short.jpg</v>
      </c>
      <c r="M254" s="32"/>
      <c r="N254" s="32"/>
      <c r="P254" s="32" t="str">
        <f t="shared" si="9"/>
        <v>Head_Maxpalp_length_short</v>
      </c>
      <c r="S254" t="str">
        <f t="shared" si="10"/>
        <v>resources/images/Head_Maxpalp_length_short.jpg</v>
      </c>
    </row>
    <row r="255" spans="1:19" x14ac:dyDescent="0.2">
      <c r="A255" t="s">
        <v>664</v>
      </c>
      <c r="B255" t="s">
        <v>769</v>
      </c>
      <c r="E255" s="4">
        <v>1</v>
      </c>
      <c r="F255" t="s">
        <v>686</v>
      </c>
      <c r="J255" s="11" t="s">
        <v>69</v>
      </c>
      <c r="K255" t="s">
        <v>308</v>
      </c>
      <c r="L255" t="str">
        <f t="shared" si="8"/>
        <v>resources/images/Head_Vertex_more_2.jpg</v>
      </c>
      <c r="P255" t="s">
        <v>678</v>
      </c>
      <c r="S255" t="str">
        <f t="shared" si="10"/>
        <v>resources/images/Head_Vertex_more_2.jpg</v>
      </c>
    </row>
    <row r="256" spans="1:19" x14ac:dyDescent="0.2">
      <c r="A256" t="s">
        <v>664</v>
      </c>
      <c r="B256" t="s">
        <v>770</v>
      </c>
      <c r="E256" s="4">
        <v>1</v>
      </c>
      <c r="F256" t="s">
        <v>686</v>
      </c>
      <c r="J256" s="11" t="s">
        <v>69</v>
      </c>
      <c r="K256" t="s">
        <v>328</v>
      </c>
      <c r="L256" t="str">
        <f t="shared" si="8"/>
        <v>resources/images/Head_Vertex_equal.jpg</v>
      </c>
      <c r="P256" t="str">
        <f>CONCATENATE("Head_",J256,"_",K256)</f>
        <v>Head_Vertex_equal</v>
      </c>
      <c r="S256" t="str">
        <f t="shared" si="10"/>
        <v>resources/images/Head_Vertex_equal.jpg</v>
      </c>
    </row>
    <row r="257" spans="1:19" x14ac:dyDescent="0.2">
      <c r="B257" t="s">
        <v>771</v>
      </c>
      <c r="E257" s="4">
        <v>1</v>
      </c>
      <c r="F257" t="s">
        <v>686</v>
      </c>
      <c r="J257" s="35" t="s">
        <v>69</v>
      </c>
      <c r="K257" s="32" t="s">
        <v>299</v>
      </c>
      <c r="L257" t="str">
        <f t="shared" si="8"/>
        <v>resources/images/Head_Vertex_less.jpg</v>
      </c>
      <c r="M257" s="32"/>
      <c r="N257" s="32"/>
      <c r="P257" s="32" t="str">
        <f>CONCATENATE("Head_",J257,"_",K257)</f>
        <v>Head_Vertex_less</v>
      </c>
      <c r="S257" t="str">
        <f t="shared" si="10"/>
        <v>resources/images/Head_Vertex_less.jpg</v>
      </c>
    </row>
    <row r="258" spans="1:19" x14ac:dyDescent="0.2">
      <c r="A258" t="s">
        <v>664</v>
      </c>
      <c r="B258" t="s">
        <v>772</v>
      </c>
      <c r="E258" s="4">
        <v>1</v>
      </c>
      <c r="F258" t="s">
        <v>686</v>
      </c>
      <c r="J258" s="11" t="s">
        <v>69</v>
      </c>
      <c r="K258" t="s">
        <v>423</v>
      </c>
      <c r="L258" t="str">
        <f t="shared" si="8"/>
        <v>resources/images/Head_Vertex_much.jpg</v>
      </c>
      <c r="P258" t="str">
        <f>CONCATENATE("Head_",J258,"_",K258)</f>
        <v>Head_Vertex_much</v>
      </c>
      <c r="S258" t="str">
        <f t="shared" si="10"/>
        <v>resources/images/Head_Vertex_much.jpg</v>
      </c>
    </row>
    <row r="259" spans="1:19" x14ac:dyDescent="0.2">
      <c r="B259" t="s">
        <v>969</v>
      </c>
      <c r="E259" s="4">
        <v>1</v>
      </c>
      <c r="F259" t="s">
        <v>686</v>
      </c>
      <c r="J259" s="11" t="s">
        <v>69</v>
      </c>
      <c r="K259" t="s">
        <v>423</v>
      </c>
    </row>
    <row r="260" spans="1:19" x14ac:dyDescent="0.2">
      <c r="A260" t="s">
        <v>685</v>
      </c>
      <c r="B260" t="s">
        <v>954</v>
      </c>
      <c r="E260" s="4">
        <v>1</v>
      </c>
      <c r="F260" t="s">
        <v>686</v>
      </c>
      <c r="J260" s="35" t="s">
        <v>154</v>
      </c>
      <c r="K260" s="32" t="s">
        <v>179</v>
      </c>
      <c r="L260" t="str">
        <f t="shared" si="8"/>
        <v>resources/images/Legs_Midbasitarsus_width_normal.jpg</v>
      </c>
      <c r="M260" s="32"/>
      <c r="N260" s="32"/>
      <c r="P260" s="32" t="str">
        <f t="shared" ref="P260:P266" si="11">CONCATENATE("Legs_",J260,"_",K260)</f>
        <v>Legs_Midbasitarsus_width_normal</v>
      </c>
      <c r="S260" t="str">
        <f t="shared" si="10"/>
        <v>resources/images/Legs_Midbasitarsus_width_normal.jpg</v>
      </c>
    </row>
    <row r="261" spans="1:19" x14ac:dyDescent="0.2">
      <c r="A261" t="s">
        <v>685</v>
      </c>
      <c r="B261" t="s">
        <v>953</v>
      </c>
      <c r="E261" s="4">
        <v>1</v>
      </c>
      <c r="F261" t="s">
        <v>686</v>
      </c>
      <c r="J261" s="35" t="s">
        <v>154</v>
      </c>
      <c r="K261" s="32" t="s">
        <v>283</v>
      </c>
      <c r="L261" t="str">
        <f t="shared" si="8"/>
        <v>resources/images/Legs_Midbasitarsus_width_expanded.jpg</v>
      </c>
      <c r="M261" s="32"/>
      <c r="N261" s="32"/>
      <c r="P261" s="32" t="str">
        <f t="shared" si="11"/>
        <v>Legs_Midbasitarsus_width_expanded</v>
      </c>
      <c r="S261" t="str">
        <f t="shared" si="10"/>
        <v>resources/images/Legs_Midbasitarsus_width_expanded.jpg</v>
      </c>
    </row>
    <row r="262" spans="1:19" x14ac:dyDescent="0.2">
      <c r="A262" t="s">
        <v>685</v>
      </c>
      <c r="B262" t="s">
        <v>952</v>
      </c>
      <c r="E262" s="4">
        <v>1</v>
      </c>
      <c r="F262" t="s">
        <v>686</v>
      </c>
      <c r="J262" s="35" t="s">
        <v>155</v>
      </c>
      <c r="K262" s="32" t="s">
        <v>179</v>
      </c>
      <c r="L262" t="str">
        <f t="shared" si="8"/>
        <v>resources/images/Legs_Femur_shape_normal.jpg</v>
      </c>
      <c r="M262" s="32"/>
      <c r="N262" s="32"/>
      <c r="P262" s="32" t="str">
        <f t="shared" si="11"/>
        <v>Legs_Femur_shape_normal</v>
      </c>
      <c r="S262" t="str">
        <f t="shared" si="10"/>
        <v>resources/images/Legs_Femur_shape_normal.jpg</v>
      </c>
    </row>
    <row r="263" spans="1:19" x14ac:dyDescent="0.2">
      <c r="A263" t="s">
        <v>664</v>
      </c>
      <c r="B263" t="s">
        <v>773</v>
      </c>
      <c r="E263" s="4">
        <v>1</v>
      </c>
      <c r="F263" t="s">
        <v>686</v>
      </c>
      <c r="J263" s="17" t="s">
        <v>155</v>
      </c>
      <c r="K263" t="s">
        <v>424</v>
      </c>
      <c r="L263" t="str">
        <f t="shared" si="8"/>
        <v>resources/images/Legs_Femur_shape_ridged.jpg</v>
      </c>
      <c r="P263" t="str">
        <f t="shared" si="11"/>
        <v>Legs_Femur_shape_ridged</v>
      </c>
      <c r="S263" t="str">
        <f t="shared" si="10"/>
        <v>resources/images/Legs_Femur_shape_ridged.jpg</v>
      </c>
    </row>
    <row r="264" spans="1:19" x14ac:dyDescent="0.2">
      <c r="A264" t="s">
        <v>664</v>
      </c>
      <c r="B264" t="s">
        <v>774</v>
      </c>
      <c r="E264" s="4">
        <v>1</v>
      </c>
      <c r="F264" t="s">
        <v>686</v>
      </c>
      <c r="J264" s="17" t="s">
        <v>156</v>
      </c>
      <c r="K264" t="s">
        <v>179</v>
      </c>
      <c r="L264" t="str">
        <f t="shared" si="8"/>
        <v>resources/images/Legs_Spurs_normal.jpg</v>
      </c>
      <c r="P264" t="str">
        <f t="shared" si="11"/>
        <v>Legs_Spurs_normal</v>
      </c>
      <c r="S264" t="str">
        <f t="shared" si="10"/>
        <v>resources/images/Legs_Spurs_normal.jpg</v>
      </c>
    </row>
    <row r="265" spans="1:19" x14ac:dyDescent="0.2">
      <c r="A265" t="s">
        <v>664</v>
      </c>
      <c r="B265" t="s">
        <v>775</v>
      </c>
      <c r="E265" s="4">
        <v>1</v>
      </c>
      <c r="F265" t="s">
        <v>686</v>
      </c>
      <c r="J265" s="17" t="s">
        <v>156</v>
      </c>
      <c r="K265" t="s">
        <v>253</v>
      </c>
      <c r="L265" t="str">
        <f t="shared" si="8"/>
        <v>resources/images/Legs_Spurs_broad.jpg</v>
      </c>
      <c r="P265" t="str">
        <f t="shared" si="11"/>
        <v>Legs_Spurs_broad</v>
      </c>
      <c r="S265" t="str">
        <f t="shared" si="10"/>
        <v>resources/images/Legs_Spurs_broad.jpg</v>
      </c>
    </row>
    <row r="266" spans="1:19" x14ac:dyDescent="0.2">
      <c r="A266" t="s">
        <v>664</v>
      </c>
      <c r="B266" t="s">
        <v>776</v>
      </c>
      <c r="E266" s="4">
        <v>1</v>
      </c>
      <c r="F266" t="s">
        <v>686</v>
      </c>
      <c r="J266" s="17" t="s">
        <v>156</v>
      </c>
      <c r="K266" t="s">
        <v>425</v>
      </c>
      <c r="L266" t="str">
        <f t="shared" si="8"/>
        <v>resources/images/Legs_Spurs_curved.jpg</v>
      </c>
      <c r="P266" t="str">
        <f t="shared" si="11"/>
        <v>Legs_Spurs_curved</v>
      </c>
      <c r="S266" t="str">
        <f t="shared" si="10"/>
        <v>resources/images/Legs_Spurs_curved.jpg</v>
      </c>
    </row>
    <row r="267" spans="1:19" x14ac:dyDescent="0.2">
      <c r="B267" t="s">
        <v>777</v>
      </c>
      <c r="E267" s="4">
        <v>1</v>
      </c>
      <c r="F267" t="s">
        <v>686</v>
      </c>
      <c r="J267" s="35" t="s">
        <v>156</v>
      </c>
      <c r="K267" s="32" t="s">
        <v>425</v>
      </c>
      <c r="L267" t="str">
        <f t="shared" si="8"/>
        <v>resources/images/Legs_Spurs_curved_2.jpg</v>
      </c>
      <c r="M267" s="32"/>
      <c r="N267" s="32"/>
      <c r="P267" s="32" t="s">
        <v>666</v>
      </c>
      <c r="S267" t="str">
        <f t="shared" si="10"/>
        <v>resources/images/Legs_Spurs_curved_2.jpg</v>
      </c>
    </row>
    <row r="268" spans="1:19" x14ac:dyDescent="0.2">
      <c r="A268" t="s">
        <v>664</v>
      </c>
      <c r="B268" t="s">
        <v>778</v>
      </c>
      <c r="E268" s="4">
        <v>1</v>
      </c>
      <c r="F268" t="s">
        <v>686</v>
      </c>
      <c r="J268" s="17" t="s">
        <v>157</v>
      </c>
      <c r="K268" t="s">
        <v>179</v>
      </c>
      <c r="L268" t="str">
        <f t="shared" si="8"/>
        <v>resources/images/Legs_Tibia_shape_normal.jpg</v>
      </c>
      <c r="P268" t="str">
        <f t="shared" ref="P268:P276" si="12">CONCATENATE("Legs_",J268,"_",K268)</f>
        <v>Legs_Tibia_shape_normal</v>
      </c>
      <c r="S268" t="str">
        <f t="shared" si="10"/>
        <v>resources/images/Legs_Tibia_shape_normal.jpg</v>
      </c>
    </row>
    <row r="269" spans="1:19" x14ac:dyDescent="0.2">
      <c r="A269" t="s">
        <v>664</v>
      </c>
      <c r="B269" t="s">
        <v>779</v>
      </c>
      <c r="E269" s="4">
        <v>1</v>
      </c>
      <c r="F269" t="s">
        <v>686</v>
      </c>
      <c r="J269" s="17" t="s">
        <v>157</v>
      </c>
      <c r="K269" t="s">
        <v>253</v>
      </c>
      <c r="L269" t="str">
        <f t="shared" si="8"/>
        <v>resources/images/Legs_Tibia_shape_broad.jpg</v>
      </c>
      <c r="P269" t="str">
        <f t="shared" si="12"/>
        <v>Legs_Tibia_shape_broad</v>
      </c>
      <c r="S269" t="str">
        <f t="shared" si="10"/>
        <v>resources/images/Legs_Tibia_shape_broad.jpg</v>
      </c>
    </row>
    <row r="270" spans="1:19" x14ac:dyDescent="0.2">
      <c r="A270" t="s">
        <v>664</v>
      </c>
      <c r="B270" t="s">
        <v>780</v>
      </c>
      <c r="E270" s="4">
        <v>1</v>
      </c>
      <c r="F270" t="s">
        <v>686</v>
      </c>
      <c r="J270" s="17" t="s">
        <v>157</v>
      </c>
      <c r="K270" t="s">
        <v>404</v>
      </c>
      <c r="L270" t="str">
        <f t="shared" si="8"/>
        <v>resources/images/Legs_Tibia_shape_narrow.jpg</v>
      </c>
      <c r="P270" t="str">
        <f t="shared" si="12"/>
        <v>Legs_Tibia_shape_narrow</v>
      </c>
      <c r="S270" t="str">
        <f t="shared" si="10"/>
        <v>resources/images/Legs_Tibia_shape_narrow.jpg</v>
      </c>
    </row>
    <row r="271" spans="1:19" x14ac:dyDescent="0.2">
      <c r="A271" t="s">
        <v>685</v>
      </c>
      <c r="B271" t="s">
        <v>951</v>
      </c>
      <c r="E271" s="4">
        <v>1</v>
      </c>
      <c r="F271" t="s">
        <v>686</v>
      </c>
      <c r="J271" s="35" t="s">
        <v>158</v>
      </c>
      <c r="K271" s="32" t="s">
        <v>177</v>
      </c>
      <c r="L271" t="str">
        <f t="shared" si="8"/>
        <v>resources/images/Legs_Scopa_color_pale.jpg</v>
      </c>
      <c r="M271" s="32"/>
      <c r="N271" s="32"/>
      <c r="P271" s="32" t="str">
        <f t="shared" si="12"/>
        <v>Legs_Scopa_color_pale</v>
      </c>
      <c r="S271" t="str">
        <f t="shared" si="10"/>
        <v>resources/images/Legs_Scopa_color_pale.jpg</v>
      </c>
    </row>
    <row r="272" spans="1:19" x14ac:dyDescent="0.2">
      <c r="A272" t="s">
        <v>685</v>
      </c>
      <c r="B272" t="s">
        <v>950</v>
      </c>
      <c r="E272" s="4">
        <v>1</v>
      </c>
      <c r="F272" t="s">
        <v>686</v>
      </c>
      <c r="J272" s="35" t="s">
        <v>158</v>
      </c>
      <c r="K272" s="32" t="s">
        <v>409</v>
      </c>
      <c r="L272" t="str">
        <f t="shared" si="8"/>
        <v>resources/images/Legs_Scopa_color_mixed.jpg</v>
      </c>
      <c r="M272" s="32"/>
      <c r="N272" s="32"/>
      <c r="P272" s="32" t="str">
        <f t="shared" si="12"/>
        <v>Legs_Scopa_color_mixed</v>
      </c>
      <c r="S272" t="str">
        <f t="shared" si="10"/>
        <v>resources/images/Legs_Scopa_color_mixed.jpg</v>
      </c>
    </row>
    <row r="273" spans="1:19" x14ac:dyDescent="0.2">
      <c r="A273" t="s">
        <v>685</v>
      </c>
      <c r="B273" t="s">
        <v>949</v>
      </c>
      <c r="E273" s="4">
        <v>1</v>
      </c>
      <c r="F273" t="s">
        <v>686</v>
      </c>
      <c r="J273" s="35" t="s">
        <v>158</v>
      </c>
      <c r="K273" s="32" t="s">
        <v>208</v>
      </c>
      <c r="L273" t="str">
        <f t="shared" si="8"/>
        <v>resources/images/Legs_Scopa_color_dark.jpg</v>
      </c>
      <c r="M273" s="32"/>
      <c r="N273" s="32"/>
      <c r="P273" s="32" t="str">
        <f t="shared" si="12"/>
        <v>Legs_Scopa_color_dark</v>
      </c>
      <c r="S273" t="str">
        <f t="shared" si="10"/>
        <v>resources/images/Legs_Scopa_color_dark.jpg</v>
      </c>
    </row>
    <row r="274" spans="1:19" x14ac:dyDescent="0.2">
      <c r="A274" t="s">
        <v>664</v>
      </c>
      <c r="B274" t="s">
        <v>781</v>
      </c>
      <c r="E274" s="4">
        <v>1</v>
      </c>
      <c r="F274" t="s">
        <v>686</v>
      </c>
      <c r="J274" s="17" t="s">
        <v>159</v>
      </c>
      <c r="K274" t="s">
        <v>197</v>
      </c>
      <c r="L274" t="str">
        <f t="shared" si="8"/>
        <v>resources/images/Legs_Scopa_hairs_simple.jpg</v>
      </c>
      <c r="P274" t="str">
        <f t="shared" si="12"/>
        <v>Legs_Scopa_hairs_simple</v>
      </c>
      <c r="S274" t="str">
        <f t="shared" si="10"/>
        <v>resources/images/Legs_Scopa_hairs_simple.jpg</v>
      </c>
    </row>
    <row r="275" spans="1:19" x14ac:dyDescent="0.2">
      <c r="A275" t="s">
        <v>685</v>
      </c>
      <c r="B275" t="s">
        <v>948</v>
      </c>
      <c r="E275" s="4">
        <v>1</v>
      </c>
      <c r="F275" t="s">
        <v>686</v>
      </c>
      <c r="J275" s="35" t="s">
        <v>159</v>
      </c>
      <c r="K275" s="32" t="s">
        <v>336</v>
      </c>
      <c r="L275" t="str">
        <f t="shared" si="8"/>
        <v>resources/images/Legs_Scopa_hairs_weak.jpg</v>
      </c>
      <c r="M275" s="32"/>
      <c r="N275" s="32"/>
      <c r="P275" s="32" t="str">
        <f t="shared" si="12"/>
        <v>Legs_Scopa_hairs_weak</v>
      </c>
      <c r="S275" t="str">
        <f t="shared" si="10"/>
        <v>resources/images/Legs_Scopa_hairs_weak.jpg</v>
      </c>
    </row>
    <row r="276" spans="1:19" x14ac:dyDescent="0.2">
      <c r="A276" t="s">
        <v>664</v>
      </c>
      <c r="B276" t="s">
        <v>782</v>
      </c>
      <c r="E276" s="4">
        <v>1</v>
      </c>
      <c r="F276" t="s">
        <v>686</v>
      </c>
      <c r="J276" s="17" t="s">
        <v>159</v>
      </c>
      <c r="K276" t="s">
        <v>275</v>
      </c>
      <c r="L276" t="str">
        <f t="shared" si="8"/>
        <v>resources/images/Legs_Scopa_hairs_plumose.jpg</v>
      </c>
      <c r="P276" t="str">
        <f t="shared" si="12"/>
        <v>Legs_Scopa_hairs_plumose</v>
      </c>
      <c r="S276" t="str">
        <f t="shared" si="10"/>
        <v>resources/images/Legs_Scopa_hairs_plumose.jpg</v>
      </c>
    </row>
    <row r="277" spans="1:19" x14ac:dyDescent="0.2">
      <c r="A277" t="s">
        <v>664</v>
      </c>
      <c r="B277" t="s">
        <v>783</v>
      </c>
      <c r="E277" s="4">
        <v>1</v>
      </c>
      <c r="F277" t="s">
        <v>686</v>
      </c>
      <c r="J277" s="17" t="s">
        <v>159</v>
      </c>
      <c r="K277" t="s">
        <v>275</v>
      </c>
      <c r="L277" t="str">
        <f t="shared" si="8"/>
        <v>resources/images/Legs_Scopa_hairs_plumose_2.jpg</v>
      </c>
      <c r="P277" t="s">
        <v>683</v>
      </c>
      <c r="S277" t="str">
        <f t="shared" si="10"/>
        <v>resources/images/Legs_Scopa_hairs_plumose_2.jpg</v>
      </c>
    </row>
    <row r="278" spans="1:19" x14ac:dyDescent="0.2">
      <c r="A278" t="s">
        <v>664</v>
      </c>
      <c r="B278" t="s">
        <v>784</v>
      </c>
      <c r="E278" s="4">
        <v>1</v>
      </c>
      <c r="F278" t="s">
        <v>686</v>
      </c>
      <c r="J278" s="17" t="s">
        <v>160</v>
      </c>
      <c r="K278" t="s">
        <v>198</v>
      </c>
      <c r="L278" t="str">
        <f t="shared" si="8"/>
        <v>resources/images/Legs_Flocculus_complete.jpg</v>
      </c>
      <c r="P278" t="str">
        <f>CONCATENATE("Legs_",J278,"_",K278)</f>
        <v>Legs_Flocculus_complete</v>
      </c>
      <c r="S278" t="str">
        <f t="shared" si="10"/>
        <v>resources/images/Legs_Flocculus_complete.jpg</v>
      </c>
    </row>
    <row r="279" spans="1:19" x14ac:dyDescent="0.2">
      <c r="A279" t="s">
        <v>664</v>
      </c>
      <c r="B279" t="s">
        <v>785</v>
      </c>
      <c r="E279" s="4">
        <v>1</v>
      </c>
      <c r="F279" t="s">
        <v>686</v>
      </c>
      <c r="J279" s="17" t="s">
        <v>160</v>
      </c>
      <c r="K279" t="s">
        <v>200</v>
      </c>
      <c r="L279" t="str">
        <f t="shared" si="8"/>
        <v>resources/images/Legs_Flocculus_incomplete.jpg</v>
      </c>
      <c r="P279" t="str">
        <f>CONCATENATE("Legs_",J279,"_",K279)</f>
        <v>Legs_Flocculus_incomplete</v>
      </c>
      <c r="S279" t="str">
        <f t="shared" si="10"/>
        <v>resources/images/Legs_Flocculus_incomplete.jpg</v>
      </c>
    </row>
    <row r="280" spans="1:19" x14ac:dyDescent="0.2">
      <c r="A280" t="s">
        <v>664</v>
      </c>
      <c r="B280" t="s">
        <v>786</v>
      </c>
      <c r="E280" s="4">
        <v>1</v>
      </c>
      <c r="F280" t="s">
        <v>686</v>
      </c>
      <c r="J280" s="11" t="s">
        <v>161</v>
      </c>
      <c r="K280" t="s">
        <v>218</v>
      </c>
      <c r="L280" t="str">
        <f t="shared" si="8"/>
        <v>resources/images/Thorax_Pronotal_angle_present.jpg</v>
      </c>
      <c r="P280" t="str">
        <f t="shared" ref="P280:P291" si="13">CONCATENATE("Thorax_",J280,"_",K280)</f>
        <v>Thorax_Pronotal_angle_present</v>
      </c>
      <c r="S280" t="str">
        <f t="shared" si="10"/>
        <v>resources/images/Thorax_Pronotal_angle_present.jpg</v>
      </c>
    </row>
    <row r="281" spans="1:19" x14ac:dyDescent="0.2">
      <c r="A281" t="s">
        <v>664</v>
      </c>
      <c r="B281" t="s">
        <v>787</v>
      </c>
      <c r="E281" s="4">
        <v>1</v>
      </c>
      <c r="F281" t="s">
        <v>686</v>
      </c>
      <c r="J281" s="11" t="s">
        <v>161</v>
      </c>
      <c r="K281" t="s">
        <v>336</v>
      </c>
      <c r="L281" t="str">
        <f t="shared" si="8"/>
        <v>resources/images/Thorax_Pronotal_angle_weak.jpg</v>
      </c>
      <c r="P281" t="str">
        <f t="shared" si="13"/>
        <v>Thorax_Pronotal_angle_weak</v>
      </c>
      <c r="S281" t="str">
        <f t="shared" si="10"/>
        <v>resources/images/Thorax_Pronotal_angle_weak.jpg</v>
      </c>
    </row>
    <row r="282" spans="1:19" x14ac:dyDescent="0.2">
      <c r="A282" t="s">
        <v>664</v>
      </c>
      <c r="B282" t="s">
        <v>788</v>
      </c>
      <c r="E282" s="4">
        <v>1</v>
      </c>
      <c r="F282" t="s">
        <v>686</v>
      </c>
      <c r="J282" s="11" t="s">
        <v>161</v>
      </c>
      <c r="K282" t="s">
        <v>58</v>
      </c>
      <c r="L282" t="str">
        <f t="shared" si="8"/>
        <v>resources/images/Thorax_Pronotal_angle_absent.jpg</v>
      </c>
      <c r="P282" t="str">
        <f t="shared" si="13"/>
        <v>Thorax_Pronotal_angle_absent</v>
      </c>
      <c r="S282" t="str">
        <f t="shared" si="10"/>
        <v>resources/images/Thorax_Pronotal_angle_absent.jpg</v>
      </c>
    </row>
    <row r="283" spans="1:19" x14ac:dyDescent="0.2">
      <c r="A283" t="s">
        <v>664</v>
      </c>
      <c r="B283" t="s">
        <v>789</v>
      </c>
      <c r="E283" s="4">
        <v>1</v>
      </c>
      <c r="F283" t="s">
        <v>686</v>
      </c>
      <c r="J283" s="11" t="s">
        <v>162</v>
      </c>
      <c r="K283" t="s">
        <v>177</v>
      </c>
      <c r="L283" t="str">
        <f t="shared" si="8"/>
        <v>resources/images/Thorax_Thorax_hair_pale.jpg</v>
      </c>
      <c r="P283" t="str">
        <f t="shared" si="13"/>
        <v>Thorax_Thorax_hair_pale</v>
      </c>
      <c r="S283" t="str">
        <f t="shared" si="10"/>
        <v>resources/images/Thorax_Thorax_hair_pale.jpg</v>
      </c>
    </row>
    <row r="284" spans="1:19" x14ac:dyDescent="0.2">
      <c r="A284" t="s">
        <v>685</v>
      </c>
      <c r="B284" t="s">
        <v>947</v>
      </c>
      <c r="E284" s="4">
        <v>1</v>
      </c>
      <c r="F284" t="s">
        <v>686</v>
      </c>
      <c r="J284" s="35" t="s">
        <v>162</v>
      </c>
      <c r="K284" s="32" t="s">
        <v>208</v>
      </c>
      <c r="L284" t="str">
        <f t="shared" si="8"/>
        <v>resources/images/Thorax_Thorax_hair_dark.jpg</v>
      </c>
      <c r="M284" s="32"/>
      <c r="N284" s="32"/>
      <c r="P284" s="32" t="str">
        <f t="shared" si="13"/>
        <v>Thorax_Thorax_hair_dark</v>
      </c>
      <c r="S284" t="str">
        <f t="shared" si="10"/>
        <v>resources/images/Thorax_Thorax_hair_dark.jpg</v>
      </c>
    </row>
    <row r="285" spans="1:19" x14ac:dyDescent="0.2">
      <c r="A285" t="s">
        <v>664</v>
      </c>
      <c r="B285" t="s">
        <v>790</v>
      </c>
      <c r="E285" s="4">
        <v>1</v>
      </c>
      <c r="F285" t="s">
        <v>686</v>
      </c>
      <c r="J285" s="11" t="s">
        <v>162</v>
      </c>
      <c r="K285" t="s">
        <v>409</v>
      </c>
      <c r="L285" t="str">
        <f t="shared" si="8"/>
        <v>resources/images/Thorax_Thorax_hair_mixed.jpg</v>
      </c>
      <c r="P285" t="str">
        <f t="shared" si="13"/>
        <v>Thorax_Thorax_hair_mixed</v>
      </c>
      <c r="S285" t="str">
        <f t="shared" si="10"/>
        <v>resources/images/Thorax_Thorax_hair_mixed.jpg</v>
      </c>
    </row>
    <row r="286" spans="1:19" x14ac:dyDescent="0.2">
      <c r="A286" t="s">
        <v>685</v>
      </c>
      <c r="B286" t="s">
        <v>946</v>
      </c>
      <c r="E286" s="4">
        <v>1</v>
      </c>
      <c r="F286" t="s">
        <v>686</v>
      </c>
      <c r="J286" s="35" t="s">
        <v>163</v>
      </c>
      <c r="K286" s="32" t="s">
        <v>208</v>
      </c>
      <c r="L286" t="str">
        <f t="shared" si="8"/>
        <v>resources/images/Thorax_Thorax_integument_dark.jpg</v>
      </c>
      <c r="M286" s="32"/>
      <c r="N286" s="32"/>
      <c r="P286" s="32" t="str">
        <f t="shared" si="13"/>
        <v>Thorax_Thorax_integument_dark</v>
      </c>
      <c r="S286" t="str">
        <f t="shared" si="10"/>
        <v>resources/images/Thorax_Thorax_integument_dark.jpg</v>
      </c>
    </row>
    <row r="287" spans="1:19" x14ac:dyDescent="0.2">
      <c r="A287" t="s">
        <v>685</v>
      </c>
      <c r="B287" t="s">
        <v>945</v>
      </c>
      <c r="E287" s="4">
        <v>1</v>
      </c>
      <c r="F287" t="s">
        <v>686</v>
      </c>
      <c r="J287" s="35" t="s">
        <v>163</v>
      </c>
      <c r="K287" s="32" t="s">
        <v>407</v>
      </c>
      <c r="L287" t="str">
        <f t="shared" si="8"/>
        <v>resources/images/Thorax_Thorax_integument_faint.jpg</v>
      </c>
      <c r="M287" s="32"/>
      <c r="N287" s="32"/>
      <c r="P287" s="32" t="str">
        <f t="shared" si="13"/>
        <v>Thorax_Thorax_integument_faint</v>
      </c>
      <c r="S287" t="str">
        <f t="shared" si="10"/>
        <v>resources/images/Thorax_Thorax_integument_faint.jpg</v>
      </c>
    </row>
    <row r="288" spans="1:19" x14ac:dyDescent="0.2">
      <c r="A288" t="s">
        <v>664</v>
      </c>
      <c r="B288" t="s">
        <v>791</v>
      </c>
      <c r="E288" s="4">
        <v>1</v>
      </c>
      <c r="F288" t="s">
        <v>686</v>
      </c>
      <c r="J288" s="11" t="s">
        <v>163</v>
      </c>
      <c r="K288" t="s">
        <v>305</v>
      </c>
      <c r="L288" t="str">
        <f t="shared" si="8"/>
        <v>resources/images/Thorax_Thorax_integument_metallic.jpg</v>
      </c>
      <c r="P288" t="str">
        <f t="shared" si="13"/>
        <v>Thorax_Thorax_integument_metallic</v>
      </c>
      <c r="S288" t="str">
        <f t="shared" si="10"/>
        <v>resources/images/Thorax_Thorax_integument_metallic.jpg</v>
      </c>
    </row>
    <row r="289" spans="1:19" x14ac:dyDescent="0.2">
      <c r="A289" t="s">
        <v>664</v>
      </c>
      <c r="B289" t="s">
        <v>792</v>
      </c>
      <c r="E289" s="4">
        <v>1</v>
      </c>
      <c r="F289" t="s">
        <v>686</v>
      </c>
      <c r="J289" s="11" t="s">
        <v>164</v>
      </c>
      <c r="K289" t="s">
        <v>58</v>
      </c>
      <c r="L289" t="str">
        <f t="shared" si="8"/>
        <v>resources/images/Thorax_Pronotal_ridge_absent.jpg</v>
      </c>
      <c r="P289" t="str">
        <f t="shared" si="13"/>
        <v>Thorax_Pronotal_ridge_absent</v>
      </c>
      <c r="S289" t="str">
        <f t="shared" si="10"/>
        <v>resources/images/Thorax_Pronotal_ridge_absent.jpg</v>
      </c>
    </row>
    <row r="290" spans="1:19" x14ac:dyDescent="0.2">
      <c r="A290" t="s">
        <v>685</v>
      </c>
      <c r="B290" t="s">
        <v>944</v>
      </c>
      <c r="E290" s="4">
        <v>1</v>
      </c>
      <c r="F290" t="s">
        <v>686</v>
      </c>
      <c r="J290" s="35" t="s">
        <v>164</v>
      </c>
      <c r="K290" s="32" t="s">
        <v>336</v>
      </c>
      <c r="L290" t="str">
        <f t="shared" si="8"/>
        <v>resources/images/Thorax_Pronotal_ridge_weak.jpg</v>
      </c>
      <c r="M290" s="32"/>
      <c r="N290" s="32"/>
      <c r="P290" s="32" t="str">
        <f t="shared" si="13"/>
        <v>Thorax_Pronotal_ridge_weak</v>
      </c>
      <c r="S290" t="str">
        <f t="shared" si="10"/>
        <v>resources/images/Thorax_Pronotal_ridge_weak.jpg</v>
      </c>
    </row>
    <row r="291" spans="1:19" x14ac:dyDescent="0.2">
      <c r="A291" t="s">
        <v>664</v>
      </c>
      <c r="B291" t="s">
        <v>793</v>
      </c>
      <c r="E291" s="4">
        <v>1</v>
      </c>
      <c r="F291" t="s">
        <v>686</v>
      </c>
      <c r="J291" s="11" t="s">
        <v>164</v>
      </c>
      <c r="K291" t="s">
        <v>218</v>
      </c>
      <c r="L291" t="str">
        <f t="shared" si="8"/>
        <v>resources/images/Thorax_Pronotal_ridge_present.jpg</v>
      </c>
      <c r="P291" t="str">
        <f t="shared" si="13"/>
        <v>Thorax_Pronotal_ridge_present</v>
      </c>
      <c r="S291" t="str">
        <f t="shared" si="10"/>
        <v>resources/images/Thorax_Pronotal_ridge_present.jpg</v>
      </c>
    </row>
    <row r="292" spans="1:19" x14ac:dyDescent="0.2">
      <c r="A292" t="s">
        <v>664</v>
      </c>
      <c r="B292" t="s">
        <v>794</v>
      </c>
      <c r="E292" s="4">
        <v>1</v>
      </c>
      <c r="F292" t="s">
        <v>686</v>
      </c>
      <c r="J292" s="11" t="s">
        <v>164</v>
      </c>
      <c r="K292" t="s">
        <v>218</v>
      </c>
      <c r="L292" t="str">
        <f t="shared" si="8"/>
        <v>resources/images/Thorax_Pronotal_ridge_present_2.jpg</v>
      </c>
      <c r="P292" t="s">
        <v>682</v>
      </c>
      <c r="S292" t="str">
        <f t="shared" si="10"/>
        <v>resources/images/Thorax_Pronotal_ridge_present_2.jpg</v>
      </c>
    </row>
    <row r="293" spans="1:19" x14ac:dyDescent="0.2">
      <c r="A293" t="s">
        <v>664</v>
      </c>
      <c r="B293" t="s">
        <v>795</v>
      </c>
      <c r="E293" s="4">
        <v>1</v>
      </c>
      <c r="F293" t="s">
        <v>686</v>
      </c>
      <c r="J293" s="11" t="s">
        <v>70</v>
      </c>
      <c r="K293" t="s">
        <v>198</v>
      </c>
      <c r="L293" t="str">
        <f t="shared" si="8"/>
        <v>resources/images/Thorax_Corbicula_complete.jpg</v>
      </c>
      <c r="P293" t="str">
        <f t="shared" ref="P293:P302" si="14">CONCATENATE("Thorax_",J293,"_",K293)</f>
        <v>Thorax_Corbicula_complete</v>
      </c>
      <c r="S293" t="str">
        <f t="shared" si="10"/>
        <v>resources/images/Thorax_Corbicula_complete.jpg</v>
      </c>
    </row>
    <row r="294" spans="1:19" x14ac:dyDescent="0.2">
      <c r="A294" t="s">
        <v>664</v>
      </c>
      <c r="B294" t="s">
        <v>796</v>
      </c>
      <c r="E294" s="4">
        <v>1</v>
      </c>
      <c r="F294" t="s">
        <v>686</v>
      </c>
      <c r="J294" s="11" t="s">
        <v>70</v>
      </c>
      <c r="K294" t="s">
        <v>200</v>
      </c>
      <c r="L294" t="str">
        <f t="shared" si="8"/>
        <v>resources/images/Thorax_Corbicula_incomplete.jpg</v>
      </c>
      <c r="P294" t="str">
        <f t="shared" si="14"/>
        <v>Thorax_Corbicula_incomplete</v>
      </c>
      <c r="S294" t="str">
        <f t="shared" si="10"/>
        <v>resources/images/Thorax_Corbicula_incomplete.jpg</v>
      </c>
    </row>
    <row r="295" spans="1:19" x14ac:dyDescent="0.2">
      <c r="A295" t="s">
        <v>685</v>
      </c>
      <c r="B295" t="s">
        <v>943</v>
      </c>
      <c r="E295" s="4">
        <v>1</v>
      </c>
      <c r="F295" t="s">
        <v>686</v>
      </c>
      <c r="J295" s="35" t="s">
        <v>201</v>
      </c>
      <c r="K295" s="32" t="s">
        <v>58</v>
      </c>
      <c r="L295" t="str">
        <f t="shared" si="8"/>
        <v>resources/images/Thorax_Triangle_ridge_absent.jpg</v>
      </c>
      <c r="M295" s="32"/>
      <c r="N295" s="32"/>
      <c r="P295" s="32" t="str">
        <f t="shared" si="14"/>
        <v>Thorax_Triangle_ridge_absent</v>
      </c>
      <c r="S295" t="str">
        <f t="shared" si="10"/>
        <v>resources/images/Thorax_Triangle_ridge_absent.jpg</v>
      </c>
    </row>
    <row r="296" spans="1:19" x14ac:dyDescent="0.2">
      <c r="A296" t="s">
        <v>664</v>
      </c>
      <c r="B296" t="s">
        <v>797</v>
      </c>
      <c r="E296" s="4">
        <v>1</v>
      </c>
      <c r="F296" t="s">
        <v>686</v>
      </c>
      <c r="J296" s="11" t="s">
        <v>201</v>
      </c>
      <c r="K296" t="s">
        <v>218</v>
      </c>
      <c r="L296" t="str">
        <f t="shared" si="8"/>
        <v>resources/images/Thorax_Triangle_ridge_present.jpg</v>
      </c>
      <c r="P296" t="str">
        <f t="shared" si="14"/>
        <v>Thorax_Triangle_ridge_present</v>
      </c>
      <c r="S296" t="str">
        <f t="shared" si="10"/>
        <v>resources/images/Thorax_Triangle_ridge_present.jpg</v>
      </c>
    </row>
    <row r="297" spans="1:19" x14ac:dyDescent="0.2">
      <c r="A297" t="s">
        <v>685</v>
      </c>
      <c r="B297" t="s">
        <v>942</v>
      </c>
      <c r="E297" s="4">
        <v>1</v>
      </c>
      <c r="F297" t="s">
        <v>686</v>
      </c>
      <c r="J297" s="35" t="s">
        <v>165</v>
      </c>
      <c r="K297" s="32">
        <v>0</v>
      </c>
      <c r="L297" t="str">
        <f t="shared" si="8"/>
        <v>resources/images/Thorax_Triangle_sculpture_0.jpg</v>
      </c>
      <c r="M297" s="32"/>
      <c r="N297" s="32"/>
      <c r="P297" s="32" t="str">
        <f t="shared" si="14"/>
        <v>Thorax_Triangle_sculpture_0</v>
      </c>
      <c r="S297" t="str">
        <f t="shared" si="10"/>
        <v>resources/images/Thorax_Triangle_sculpture_0.jpg</v>
      </c>
    </row>
    <row r="298" spans="1:19" x14ac:dyDescent="0.2">
      <c r="A298" t="s">
        <v>664</v>
      </c>
      <c r="B298" t="s">
        <v>798</v>
      </c>
      <c r="E298" s="4">
        <v>1</v>
      </c>
      <c r="F298" t="s">
        <v>686</v>
      </c>
      <c r="J298" s="11" t="s">
        <v>165</v>
      </c>
      <c r="K298" s="25" t="s">
        <v>345</v>
      </c>
      <c r="L298" t="str">
        <f t="shared" si="8"/>
        <v>resources/images/Thorax_Triangle_sculpture_5-50.jpg</v>
      </c>
      <c r="P298" t="str">
        <f t="shared" si="14"/>
        <v>Thorax_Triangle_sculpture_5-50</v>
      </c>
      <c r="S298" t="str">
        <f t="shared" si="10"/>
        <v>resources/images/Thorax_Triangle_sculpture_5-50.jpg</v>
      </c>
    </row>
    <row r="299" spans="1:19" x14ac:dyDescent="0.2">
      <c r="A299" t="s">
        <v>685</v>
      </c>
      <c r="B299" t="s">
        <v>941</v>
      </c>
      <c r="E299" s="4">
        <v>1</v>
      </c>
      <c r="F299" t="s">
        <v>686</v>
      </c>
      <c r="J299" s="35" t="s">
        <v>165</v>
      </c>
      <c r="K299" s="32" t="s">
        <v>332</v>
      </c>
      <c r="L299" t="str">
        <f t="shared" si="8"/>
        <v>resources/images/Thorax_Triangle_sculpture_50-80.jpg</v>
      </c>
      <c r="M299" s="32"/>
      <c r="N299" s="32"/>
      <c r="P299" s="32" t="str">
        <f t="shared" si="14"/>
        <v>Thorax_Triangle_sculpture_50-80</v>
      </c>
      <c r="S299" t="str">
        <f t="shared" si="10"/>
        <v>resources/images/Thorax_Triangle_sculpture_50-80.jpg</v>
      </c>
    </row>
    <row r="300" spans="1:19" x14ac:dyDescent="0.2">
      <c r="A300" t="s">
        <v>664</v>
      </c>
      <c r="B300" t="s">
        <v>799</v>
      </c>
      <c r="E300" s="4">
        <v>1</v>
      </c>
      <c r="F300" t="s">
        <v>686</v>
      </c>
      <c r="J300" s="11" t="s">
        <v>165</v>
      </c>
      <c r="K300" t="s">
        <v>332</v>
      </c>
      <c r="L300" t="str">
        <f t="shared" si="8"/>
        <v>resources/images/Thorax_Triangle_sculpture_50-80.jpg</v>
      </c>
      <c r="P300" t="str">
        <f t="shared" si="14"/>
        <v>Thorax_Triangle_sculpture_50-80</v>
      </c>
      <c r="S300" t="str">
        <f t="shared" si="10"/>
        <v>resources/images/Thorax_Triangle_sculpture_50-80.jpg</v>
      </c>
    </row>
    <row r="301" spans="1:19" x14ac:dyDescent="0.2">
      <c r="A301" t="s">
        <v>664</v>
      </c>
      <c r="B301" t="s">
        <v>940</v>
      </c>
      <c r="E301" s="4">
        <v>1</v>
      </c>
      <c r="F301" t="s">
        <v>686</v>
      </c>
      <c r="J301" s="11" t="s">
        <v>165</v>
      </c>
      <c r="K301">
        <v>100</v>
      </c>
      <c r="L301" t="str">
        <f t="shared" si="8"/>
        <v>resources/images/Thorax_Triangle_sculpture_100.jpg</v>
      </c>
      <c r="P301" t="str">
        <f t="shared" si="14"/>
        <v>Thorax_Triangle_sculpture_100</v>
      </c>
      <c r="S301" t="str">
        <f t="shared" si="10"/>
        <v>resources/images/Thorax_Triangle_sculpture_100.jpg</v>
      </c>
    </row>
    <row r="302" spans="1:19" x14ac:dyDescent="0.2">
      <c r="A302" t="s">
        <v>664</v>
      </c>
      <c r="B302" t="s">
        <v>800</v>
      </c>
      <c r="E302" s="4">
        <v>1</v>
      </c>
      <c r="F302" t="s">
        <v>686</v>
      </c>
      <c r="J302" s="11" t="s">
        <v>166</v>
      </c>
      <c r="K302" t="s">
        <v>333</v>
      </c>
      <c r="L302" t="str">
        <f t="shared" si="8"/>
        <v>resources/images/Thorax_Triangle_outside_coarse.jpg</v>
      </c>
      <c r="P302" t="str">
        <f t="shared" si="14"/>
        <v>Thorax_Triangle_outside_coarse</v>
      </c>
      <c r="S302" t="str">
        <f t="shared" si="10"/>
        <v>resources/images/Thorax_Triangle_outside_coarse.jpg</v>
      </c>
    </row>
    <row r="303" spans="1:19" x14ac:dyDescent="0.2">
      <c r="A303" t="s">
        <v>664</v>
      </c>
      <c r="B303" t="s">
        <v>801</v>
      </c>
      <c r="E303" s="4">
        <v>1</v>
      </c>
      <c r="F303" t="s">
        <v>686</v>
      </c>
      <c r="J303" s="11" t="s">
        <v>166</v>
      </c>
      <c r="K303" t="s">
        <v>333</v>
      </c>
      <c r="L303" t="str">
        <f t="shared" si="8"/>
        <v>resources/images/Thorax_Triangle_outside_coarse_2.jpg</v>
      </c>
      <c r="P303" t="s">
        <v>670</v>
      </c>
      <c r="S303" t="str">
        <f t="shared" si="10"/>
        <v>resources/images/Thorax_Triangle_outside_coarse_2.jpg</v>
      </c>
    </row>
    <row r="304" spans="1:19" x14ac:dyDescent="0.2">
      <c r="A304" t="s">
        <v>685</v>
      </c>
      <c r="B304" t="s">
        <v>939</v>
      </c>
      <c r="E304" s="4">
        <v>1</v>
      </c>
      <c r="F304" t="s">
        <v>686</v>
      </c>
      <c r="J304" s="35" t="s">
        <v>166</v>
      </c>
      <c r="K304" s="32" t="s">
        <v>209</v>
      </c>
      <c r="L304" t="str">
        <f t="shared" ref="L304:L317" si="15">IF(I304="###",CONCATENATE("#",S304,),S304)</f>
        <v>resources/images/Thorax_Triangle_outside_dull.jpg</v>
      </c>
      <c r="M304" s="32"/>
      <c r="N304" s="32"/>
      <c r="P304" s="32" t="str">
        <f t="shared" ref="P304:P313" si="16">CONCATENATE("Thorax_",J304,"_",K304)</f>
        <v>Thorax_Triangle_outside_dull</v>
      </c>
      <c r="S304" t="str">
        <f t="shared" ref="S304:S317" si="17">CONCATENATE("resources/images/",P304,".jpg")</f>
        <v>resources/images/Thorax_Triangle_outside_dull.jpg</v>
      </c>
    </row>
    <row r="305" spans="1:19" x14ac:dyDescent="0.2">
      <c r="A305" t="s">
        <v>685</v>
      </c>
      <c r="B305" t="s">
        <v>938</v>
      </c>
      <c r="E305" s="4">
        <v>1</v>
      </c>
      <c r="F305" t="s">
        <v>686</v>
      </c>
      <c r="J305" s="35" t="s">
        <v>166</v>
      </c>
      <c r="K305" s="32" t="s">
        <v>428</v>
      </c>
      <c r="L305" t="str">
        <f t="shared" si="15"/>
        <v>resources/images/Thorax_Triangle_outside_fine.jpg</v>
      </c>
      <c r="M305" s="32"/>
      <c r="N305" s="32"/>
      <c r="P305" s="32" t="str">
        <f t="shared" si="16"/>
        <v>Thorax_Triangle_outside_fine</v>
      </c>
      <c r="S305" t="str">
        <f t="shared" si="17"/>
        <v>resources/images/Thorax_Triangle_outside_fine.jpg</v>
      </c>
    </row>
    <row r="306" spans="1:19" x14ac:dyDescent="0.2">
      <c r="A306" t="s">
        <v>664</v>
      </c>
      <c r="B306" t="s">
        <v>802</v>
      </c>
      <c r="E306" s="4">
        <v>1</v>
      </c>
      <c r="F306" t="s">
        <v>686</v>
      </c>
      <c r="J306" s="11" t="s">
        <v>166</v>
      </c>
      <c r="K306" t="s">
        <v>429</v>
      </c>
      <c r="L306" t="str">
        <f t="shared" si="15"/>
        <v>resources/images/Thorax_Triangle_outside_areolate.jpg</v>
      </c>
      <c r="P306" t="str">
        <f t="shared" si="16"/>
        <v>Thorax_Triangle_outside_areolate</v>
      </c>
      <c r="S306" t="str">
        <f t="shared" si="17"/>
        <v>resources/images/Thorax_Triangle_outside_areolate.jpg</v>
      </c>
    </row>
    <row r="307" spans="1:19" x14ac:dyDescent="0.2">
      <c r="A307" t="s">
        <v>685</v>
      </c>
      <c r="B307" t="s">
        <v>937</v>
      </c>
      <c r="E307" s="4">
        <v>1</v>
      </c>
      <c r="F307" t="s">
        <v>686</v>
      </c>
      <c r="J307" s="35" t="s">
        <v>167</v>
      </c>
      <c r="K307" s="32" t="s">
        <v>58</v>
      </c>
      <c r="L307" t="str">
        <f t="shared" si="15"/>
        <v>resources/images/Thorax_Scutum_pits_absent.jpg</v>
      </c>
      <c r="M307" s="32"/>
      <c r="N307" s="32"/>
      <c r="P307" s="32" t="str">
        <f t="shared" si="16"/>
        <v>Thorax_Scutum_pits_absent</v>
      </c>
      <c r="S307" t="str">
        <f t="shared" si="17"/>
        <v>resources/images/Thorax_Scutum_pits_absent.jpg</v>
      </c>
    </row>
    <row r="308" spans="1:19" x14ac:dyDescent="0.2">
      <c r="A308" t="s">
        <v>685</v>
      </c>
      <c r="B308" t="s">
        <v>936</v>
      </c>
      <c r="E308" s="4">
        <v>1</v>
      </c>
      <c r="F308" t="s">
        <v>686</v>
      </c>
      <c r="J308" s="35" t="s">
        <v>167</v>
      </c>
      <c r="K308" s="32" t="s">
        <v>299</v>
      </c>
      <c r="L308" t="str">
        <f t="shared" si="15"/>
        <v>resources/images/Thorax_Scutum_pits_less.jpg</v>
      </c>
      <c r="M308" s="32"/>
      <c r="N308" s="32"/>
      <c r="P308" s="32" t="str">
        <f t="shared" si="16"/>
        <v>Thorax_Scutum_pits_less</v>
      </c>
      <c r="S308" t="str">
        <f t="shared" si="17"/>
        <v>resources/images/Thorax_Scutum_pits_less.jpg</v>
      </c>
    </row>
    <row r="309" spans="1:19" x14ac:dyDescent="0.2">
      <c r="A309" t="s">
        <v>664</v>
      </c>
      <c r="B309" t="s">
        <v>803</v>
      </c>
      <c r="E309" s="4">
        <v>1</v>
      </c>
      <c r="F309" t="s">
        <v>686</v>
      </c>
      <c r="J309" s="11" t="s">
        <v>167</v>
      </c>
      <c r="K309" s="24" t="s">
        <v>326</v>
      </c>
      <c r="L309" t="str">
        <f t="shared" si="15"/>
        <v>resources/images/Thorax_Scutum_pits_1-3.jpg</v>
      </c>
      <c r="P309" t="str">
        <f t="shared" si="16"/>
        <v>Thorax_Scutum_pits_1-3</v>
      </c>
      <c r="S309" t="str">
        <f t="shared" si="17"/>
        <v>resources/images/Thorax_Scutum_pits_1-3.jpg</v>
      </c>
    </row>
    <row r="310" spans="1:19" x14ac:dyDescent="0.2">
      <c r="A310" t="s">
        <v>664</v>
      </c>
      <c r="B310" t="s">
        <v>804</v>
      </c>
      <c r="E310" s="4">
        <v>1</v>
      </c>
      <c r="F310" t="s">
        <v>686</v>
      </c>
      <c r="J310" s="11" t="s">
        <v>167</v>
      </c>
      <c r="K310" s="24" t="s">
        <v>406</v>
      </c>
      <c r="L310" t="str">
        <f t="shared" si="15"/>
        <v>resources/images/Thorax_Scutum_pits_3+.jpg</v>
      </c>
      <c r="P310" t="str">
        <f t="shared" si="16"/>
        <v>Thorax_Scutum_pits_3+</v>
      </c>
      <c r="S310" t="str">
        <f t="shared" si="17"/>
        <v>resources/images/Thorax_Scutum_pits_3+.jpg</v>
      </c>
    </row>
    <row r="311" spans="1:19" x14ac:dyDescent="0.2">
      <c r="A311" t="s">
        <v>664</v>
      </c>
      <c r="B311" t="s">
        <v>805</v>
      </c>
      <c r="E311" s="4">
        <v>1</v>
      </c>
      <c r="F311" t="s">
        <v>686</v>
      </c>
      <c r="J311" s="11" t="s">
        <v>168</v>
      </c>
      <c r="K311" t="s">
        <v>209</v>
      </c>
      <c r="L311" t="str">
        <f t="shared" si="15"/>
        <v>resources/images/Thorax_Scutum_texture_dull.jpg</v>
      </c>
      <c r="P311" t="str">
        <f t="shared" si="16"/>
        <v>Thorax_Scutum_texture_dull</v>
      </c>
      <c r="S311" t="str">
        <f t="shared" si="17"/>
        <v>resources/images/Thorax_Scutum_texture_dull.jpg</v>
      </c>
    </row>
    <row r="312" spans="1:19" x14ac:dyDescent="0.2">
      <c r="A312" t="s">
        <v>685</v>
      </c>
      <c r="B312" t="s">
        <v>935</v>
      </c>
      <c r="E312" s="4">
        <v>1</v>
      </c>
      <c r="F312" t="s">
        <v>686</v>
      </c>
      <c r="J312" s="35" t="s">
        <v>168</v>
      </c>
      <c r="K312" s="32" t="s">
        <v>414</v>
      </c>
      <c r="L312" t="str">
        <f t="shared" si="15"/>
        <v>resources/images/Thorax_Scutum_texture_shiny.jpg</v>
      </c>
      <c r="M312" s="32"/>
      <c r="N312" s="32"/>
      <c r="P312" s="32" t="str">
        <f t="shared" si="16"/>
        <v>Thorax_Scutum_texture_shiny</v>
      </c>
      <c r="S312" t="str">
        <f t="shared" si="17"/>
        <v>resources/images/Thorax_Scutum_texture_shiny.jpg</v>
      </c>
    </row>
    <row r="313" spans="1:19" x14ac:dyDescent="0.2">
      <c r="A313" t="s">
        <v>685</v>
      </c>
      <c r="B313" t="s">
        <v>934</v>
      </c>
      <c r="E313" s="4">
        <v>1</v>
      </c>
      <c r="F313" t="s">
        <v>686</v>
      </c>
      <c r="J313" s="35" t="s">
        <v>168</v>
      </c>
      <c r="K313" s="32" t="s">
        <v>430</v>
      </c>
      <c r="L313" t="str">
        <f t="shared" si="15"/>
        <v>resources/images/Thorax_Scutum_texture_somewhat.jpg</v>
      </c>
      <c r="M313" s="32"/>
      <c r="N313" s="32"/>
      <c r="P313" s="32" t="str">
        <f t="shared" si="16"/>
        <v>Thorax_Scutum_texture_somewhat</v>
      </c>
      <c r="S313" t="str">
        <f t="shared" si="17"/>
        <v>resources/images/Thorax_Scutum_texture_somewhat.jpg</v>
      </c>
    </row>
    <row r="314" spans="1:19" x14ac:dyDescent="0.2">
      <c r="A314" t="s">
        <v>664</v>
      </c>
      <c r="B314" t="s">
        <v>806</v>
      </c>
      <c r="E314" s="4">
        <v>1</v>
      </c>
      <c r="F314" t="s">
        <v>686</v>
      </c>
      <c r="J314" s="19" t="s">
        <v>169</v>
      </c>
      <c r="K314" s="1">
        <v>2</v>
      </c>
      <c r="L314" t="str">
        <f t="shared" si="15"/>
        <v>resources/images/Wing_SMC_2.jpg</v>
      </c>
      <c r="P314" t="str">
        <f>CONCATENATE("Wing_",J314,"_",K314)</f>
        <v>Wing_SMC_2</v>
      </c>
      <c r="S314" t="str">
        <f t="shared" si="17"/>
        <v>resources/images/Wing_SMC_2.jpg</v>
      </c>
    </row>
    <row r="315" spans="1:19" x14ac:dyDescent="0.2">
      <c r="A315" t="s">
        <v>664</v>
      </c>
      <c r="B315" t="s">
        <v>807</v>
      </c>
      <c r="E315" s="4">
        <v>1</v>
      </c>
      <c r="F315" t="s">
        <v>686</v>
      </c>
      <c r="J315" s="19" t="s">
        <v>169</v>
      </c>
      <c r="K315" s="1">
        <v>3</v>
      </c>
      <c r="L315" t="str">
        <f t="shared" si="15"/>
        <v>resources/images/Wing_SMC_3.jpg</v>
      </c>
      <c r="P315" t="str">
        <f>CONCATENATE("Wing_",J315,"_",K315)</f>
        <v>Wing_SMC_3</v>
      </c>
      <c r="S315" t="str">
        <f t="shared" si="17"/>
        <v>resources/images/Wing_SMC_3.jpg</v>
      </c>
    </row>
    <row r="316" spans="1:19" x14ac:dyDescent="0.2">
      <c r="A316" t="s">
        <v>664</v>
      </c>
      <c r="B316" t="s">
        <v>808</v>
      </c>
      <c r="E316" s="4">
        <v>1</v>
      </c>
      <c r="F316" t="s">
        <v>686</v>
      </c>
      <c r="J316" s="19" t="s">
        <v>170</v>
      </c>
      <c r="K316" s="1" t="s">
        <v>225</v>
      </c>
      <c r="L316" t="str">
        <f t="shared" si="15"/>
        <v>resources/images/Wing_R_long.jpg</v>
      </c>
      <c r="P316" t="str">
        <f>CONCATENATE("Wing_",J316,"_",K316)</f>
        <v>Wing_R_long</v>
      </c>
      <c r="S316" t="str">
        <f t="shared" si="17"/>
        <v>resources/images/Wing_R_long.jpg</v>
      </c>
    </row>
    <row r="317" spans="1:19" x14ac:dyDescent="0.2">
      <c r="A317" t="s">
        <v>664</v>
      </c>
      <c r="B317" t="s">
        <v>809</v>
      </c>
      <c r="E317" s="4">
        <v>1</v>
      </c>
      <c r="F317" t="s">
        <v>686</v>
      </c>
      <c r="J317" s="19" t="s">
        <v>170</v>
      </c>
      <c r="K317" s="1" t="s">
        <v>207</v>
      </c>
      <c r="L317" t="str">
        <f t="shared" si="15"/>
        <v>resources/images/Wing_R_short.jpg</v>
      </c>
      <c r="P317" t="str">
        <f>CONCATENATE("Wing_",J317,"_",K317)</f>
        <v>Wing_R_short</v>
      </c>
      <c r="S317" t="str">
        <f t="shared" si="17"/>
        <v>resources/images/Wing_R_short.jpg</v>
      </c>
    </row>
  </sheetData>
  <phoneticPr fontId="25"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6"/>
  <sheetViews>
    <sheetView topLeftCell="A2" zoomScaleNormal="100" workbookViewId="0">
      <selection activeCell="A2" sqref="A1:XFD1048576"/>
    </sheetView>
  </sheetViews>
  <sheetFormatPr baseColWidth="10" defaultColWidth="8.83203125" defaultRowHeight="15" x14ac:dyDescent="0.2"/>
  <cols>
    <col min="1" max="1" width="21" customWidth="1"/>
    <col min="2" max="2" width="10.5" customWidth="1"/>
    <col min="3" max="3" width="10.6640625" bestFit="1" customWidth="1"/>
    <col min="4" max="4" width="28.5" style="3" customWidth="1"/>
    <col min="5" max="5" width="10.6640625" bestFit="1" customWidth="1"/>
    <col min="6" max="6" width="86.5" style="2" customWidth="1"/>
  </cols>
  <sheetData>
    <row r="1" spans="1:12" s="1" customFormat="1" ht="16" x14ac:dyDescent="0.2">
      <c r="A1" s="6" t="s">
        <v>24</v>
      </c>
      <c r="B1" s="6" t="s">
        <v>13</v>
      </c>
      <c r="C1" s="6" t="s">
        <v>36</v>
      </c>
      <c r="D1" s="6" t="s">
        <v>20</v>
      </c>
      <c r="E1" s="6" t="s">
        <v>21</v>
      </c>
      <c r="F1" s="6" t="s">
        <v>22</v>
      </c>
      <c r="G1" s="6"/>
      <c r="H1" s="6"/>
      <c r="I1" s="6"/>
      <c r="J1" s="6"/>
      <c r="K1" s="6"/>
      <c r="L1" s="6">
        <v>0</v>
      </c>
    </row>
    <row r="2" spans="1:12" s="1" customFormat="1" ht="16" x14ac:dyDescent="0.2">
      <c r="A2" s="6" t="s">
        <v>33</v>
      </c>
      <c r="B2" s="6"/>
      <c r="C2" s="6"/>
      <c r="D2" s="6"/>
      <c r="E2" s="6"/>
      <c r="F2" s="6"/>
      <c r="G2" s="6"/>
      <c r="H2" s="6"/>
      <c r="I2"/>
      <c r="J2"/>
      <c r="K2"/>
      <c r="L2"/>
    </row>
    <row r="3" spans="1:12" ht="16" x14ac:dyDescent="0.2">
      <c r="A3" s="6" t="s">
        <v>26</v>
      </c>
      <c r="B3" s="6" t="s">
        <v>25</v>
      </c>
      <c r="C3" s="6" t="s">
        <v>38</v>
      </c>
      <c r="D3" s="8" t="s">
        <v>109</v>
      </c>
      <c r="E3" s="6"/>
      <c r="F3" s="6"/>
      <c r="G3" s="6"/>
      <c r="H3" s="6"/>
      <c r="I3" s="6"/>
    </row>
    <row r="4" spans="1:12" ht="16" x14ac:dyDescent="0.2">
      <c r="A4" s="6" t="s">
        <v>27</v>
      </c>
      <c r="B4" s="6" t="s">
        <v>25</v>
      </c>
      <c r="C4" s="6" t="s">
        <v>38</v>
      </c>
      <c r="D4" s="6">
        <v>2022</v>
      </c>
      <c r="E4" s="6"/>
      <c r="F4" s="6"/>
      <c r="G4" s="6"/>
      <c r="H4" s="6"/>
      <c r="I4" s="6"/>
      <c r="J4" s="6"/>
      <c r="K4" s="6"/>
      <c r="L4" s="6"/>
    </row>
    <row r="5" spans="1:12" ht="16" x14ac:dyDescent="0.2">
      <c r="A5" s="6" t="s">
        <v>28</v>
      </c>
      <c r="B5" s="6" t="s">
        <v>25</v>
      </c>
      <c r="C5" s="6" t="s">
        <v>38</v>
      </c>
      <c r="D5" s="8" t="s">
        <v>110</v>
      </c>
      <c r="E5" s="6"/>
      <c r="F5" s="6"/>
      <c r="G5" s="6"/>
      <c r="H5" s="6"/>
      <c r="I5" s="6"/>
      <c r="J5" s="6"/>
    </row>
    <row r="6" spans="1:12" ht="16" x14ac:dyDescent="0.2">
      <c r="A6" s="6" t="s">
        <v>29</v>
      </c>
      <c r="B6" s="6" t="s">
        <v>25</v>
      </c>
      <c r="C6" s="6" t="s">
        <v>37</v>
      </c>
      <c r="D6" s="8" t="s">
        <v>112</v>
      </c>
      <c r="E6" s="6"/>
      <c r="F6" s="6"/>
      <c r="G6" s="6"/>
      <c r="H6" s="6"/>
      <c r="I6" s="6"/>
    </row>
    <row r="7" spans="1:12" ht="16" x14ac:dyDescent="0.2">
      <c r="A7" s="6" t="s">
        <v>30</v>
      </c>
      <c r="B7" s="6" t="s">
        <v>25</v>
      </c>
      <c r="C7" s="6" t="s">
        <v>37</v>
      </c>
      <c r="D7" s="6" t="s">
        <v>61</v>
      </c>
      <c r="E7" s="6"/>
      <c r="F7" s="6"/>
      <c r="G7" s="6"/>
      <c r="H7" s="6"/>
      <c r="I7" s="6"/>
      <c r="J7" s="6"/>
      <c r="K7" s="6"/>
      <c r="L7" s="6"/>
    </row>
    <row r="8" spans="1:12" ht="16" x14ac:dyDescent="0.2">
      <c r="A8" s="6" t="s">
        <v>31</v>
      </c>
      <c r="B8" s="6" t="s">
        <v>25</v>
      </c>
      <c r="C8" s="6" t="s">
        <v>37</v>
      </c>
      <c r="D8" s="6"/>
      <c r="E8" s="6"/>
      <c r="F8" s="6"/>
      <c r="G8" s="6"/>
      <c r="H8" s="6"/>
      <c r="I8" s="6"/>
      <c r="J8" s="6"/>
      <c r="K8" s="6"/>
      <c r="L8" s="6"/>
    </row>
    <row r="9" spans="1:12" ht="16" x14ac:dyDescent="0.2">
      <c r="A9" s="6" t="s">
        <v>32</v>
      </c>
      <c r="B9" s="6" t="s">
        <v>25</v>
      </c>
      <c r="C9" s="6" t="s">
        <v>38</v>
      </c>
      <c r="D9" s="6" t="s">
        <v>57</v>
      </c>
      <c r="E9" s="6"/>
      <c r="F9" s="6"/>
      <c r="G9" s="6"/>
      <c r="H9" s="6"/>
      <c r="I9" s="6"/>
      <c r="J9" s="6"/>
      <c r="K9" s="6"/>
      <c r="L9" s="6"/>
    </row>
    <row r="10" spans="1:12" s="1" customFormat="1" ht="16" x14ac:dyDescent="0.2">
      <c r="A10" s="6" t="s">
        <v>23</v>
      </c>
      <c r="B10"/>
      <c r="C10"/>
      <c r="D10"/>
      <c r="E10"/>
      <c r="F10"/>
      <c r="G10"/>
      <c r="H10"/>
      <c r="I10"/>
      <c r="J10"/>
      <c r="K10"/>
      <c r="L10"/>
    </row>
    <row r="11" spans="1:12" s="1" customFormat="1" ht="16" x14ac:dyDescent="0.2">
      <c r="A11" s="6" t="s">
        <v>34</v>
      </c>
      <c r="B11" s="6" t="s">
        <v>35</v>
      </c>
      <c r="C11" s="6" t="s">
        <v>37</v>
      </c>
      <c r="D11" s="6" t="s">
        <v>57</v>
      </c>
      <c r="E11" s="7">
        <v>43723</v>
      </c>
      <c r="F11" s="6" t="s">
        <v>56</v>
      </c>
      <c r="G11" s="6"/>
      <c r="H11" s="6"/>
      <c r="I11" s="6"/>
      <c r="J11" s="6"/>
      <c r="K11" s="6"/>
      <c r="L11"/>
    </row>
    <row r="12" spans="1:12" s="1" customFormat="1" ht="16" x14ac:dyDescent="0.2">
      <c r="A12" s="6" t="s">
        <v>34</v>
      </c>
      <c r="B12" s="6" t="s">
        <v>35</v>
      </c>
      <c r="C12" s="6" t="s">
        <v>37</v>
      </c>
      <c r="D12" s="6" t="s">
        <v>55</v>
      </c>
      <c r="E12" s="7">
        <v>43397</v>
      </c>
      <c r="F12" s="6" t="s">
        <v>56</v>
      </c>
      <c r="G12" s="6"/>
      <c r="H12" s="6"/>
      <c r="I12" s="6"/>
      <c r="J12" s="6"/>
      <c r="K12" s="6"/>
      <c r="L12"/>
    </row>
    <row r="13" spans="1:12" s="1" customFormat="1" ht="16" x14ac:dyDescent="0.2">
      <c r="A13" s="6" t="s">
        <v>34</v>
      </c>
      <c r="B13" s="6" t="s">
        <v>35</v>
      </c>
      <c r="C13" s="6" t="s">
        <v>37</v>
      </c>
      <c r="D13" s="6" t="s">
        <v>53</v>
      </c>
      <c r="E13" s="7">
        <v>43252</v>
      </c>
      <c r="F13" s="6" t="s">
        <v>54</v>
      </c>
      <c r="G13" s="6"/>
      <c r="H13" s="6"/>
      <c r="I13" s="6"/>
      <c r="J13" s="6"/>
      <c r="K13"/>
      <c r="L13"/>
    </row>
    <row r="14" spans="1:12" s="1" customFormat="1" ht="16" x14ac:dyDescent="0.2">
      <c r="A14" s="6" t="s">
        <v>34</v>
      </c>
      <c r="B14" s="6" t="s">
        <v>35</v>
      </c>
      <c r="C14" s="6" t="s">
        <v>37</v>
      </c>
      <c r="D14" s="6">
        <v>1.7</v>
      </c>
      <c r="E14" s="7">
        <v>43252</v>
      </c>
      <c r="F14" s="6" t="s">
        <v>50</v>
      </c>
      <c r="G14" s="6"/>
      <c r="H14" s="6"/>
      <c r="I14"/>
      <c r="J14"/>
      <c r="K14"/>
      <c r="L14"/>
    </row>
    <row r="15" spans="1:12" ht="15.75" customHeight="1" x14ac:dyDescent="0.2">
      <c r="A15" s="6" t="s">
        <v>34</v>
      </c>
      <c r="B15" s="6" t="s">
        <v>35</v>
      </c>
      <c r="C15" s="6" t="s">
        <v>37</v>
      </c>
      <c r="D15" s="6">
        <v>1</v>
      </c>
      <c r="E15" s="7">
        <v>42696</v>
      </c>
      <c r="F15" s="6" t="s">
        <v>42</v>
      </c>
    </row>
    <row r="16" spans="1:12" ht="16" x14ac:dyDescent="0.2">
      <c r="A16" s="6" t="s">
        <v>34</v>
      </c>
      <c r="B16" s="6" t="s">
        <v>35</v>
      </c>
      <c r="C16" s="6" t="s">
        <v>37</v>
      </c>
      <c r="D16" s="6">
        <v>0.1</v>
      </c>
      <c r="E16" s="7">
        <v>42685</v>
      </c>
      <c r="F16" s="6" t="s">
        <v>40</v>
      </c>
      <c r="G16" s="6"/>
      <c r="H16" s="6"/>
      <c r="I16" s="6"/>
      <c r="J16" s="6"/>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4D403-158E-494F-AFC4-12F5450FD034}">
  <sheetPr codeName="Sheet10"/>
  <dimension ref="A1:AS46"/>
  <sheetViews>
    <sheetView zoomScale="118" zoomScaleNormal="85" workbookViewId="0">
      <pane ySplit="2" topLeftCell="A10" activePane="bottomLeft" state="frozen"/>
      <selection activeCell="I17" sqref="I17"/>
      <selection pane="bottomLeft"/>
    </sheetView>
  </sheetViews>
  <sheetFormatPr baseColWidth="10" defaultColWidth="8.83203125" defaultRowHeight="15" x14ac:dyDescent="0.2"/>
  <cols>
    <col min="1" max="1" width="23.33203125" bestFit="1" customWidth="1"/>
    <col min="2" max="2" width="7.33203125" customWidth="1"/>
    <col min="3" max="3" width="12.33203125" style="12" customWidth="1"/>
    <col min="4" max="4" width="14.5" style="12" customWidth="1"/>
    <col min="5" max="5" width="15.83203125" style="12" customWidth="1"/>
    <col min="6" max="6" width="12.33203125" style="12" customWidth="1"/>
    <col min="7" max="7" width="5.6640625" style="12" customWidth="1"/>
    <col min="8" max="8" width="6" style="12" customWidth="1"/>
    <col min="9" max="9" width="7.5" style="15" customWidth="1"/>
    <col min="10" max="10" width="8.83203125" style="15"/>
    <col min="11" max="11" width="12.83203125" style="15" customWidth="1"/>
    <col min="12" max="26" width="8.83203125" style="15"/>
    <col min="27" max="33" width="8.83203125" style="16"/>
    <col min="37" max="37" width="11" customWidth="1"/>
    <col min="44" max="45" width="8.83203125" style="18"/>
  </cols>
  <sheetData>
    <row r="1" spans="1:45" x14ac:dyDescent="0.2">
      <c r="A1" t="s">
        <v>533</v>
      </c>
    </row>
    <row r="2" spans="1:45" s="1" customFormat="1" x14ac:dyDescent="0.2">
      <c r="A2" t="s">
        <v>9</v>
      </c>
      <c r="B2" s="11" t="s">
        <v>65</v>
      </c>
      <c r="C2" s="14" t="s">
        <v>136</v>
      </c>
      <c r="D2" s="14" t="s">
        <v>171</v>
      </c>
      <c r="E2" s="13" t="s">
        <v>135</v>
      </c>
      <c r="F2" s="14" t="s">
        <v>137</v>
      </c>
      <c r="G2" s="14" t="s">
        <v>138</v>
      </c>
      <c r="H2" s="14" t="s">
        <v>176</v>
      </c>
      <c r="I2" s="9" t="s">
        <v>139</v>
      </c>
      <c r="J2" s="9" t="s">
        <v>140</v>
      </c>
      <c r="K2" s="11" t="s">
        <v>141</v>
      </c>
      <c r="L2" s="11" t="s">
        <v>142</v>
      </c>
      <c r="M2" s="11" t="s">
        <v>143</v>
      </c>
      <c r="N2" s="11" t="s">
        <v>144</v>
      </c>
      <c r="O2" s="11" t="s">
        <v>145</v>
      </c>
      <c r="P2" s="11" t="s">
        <v>185</v>
      </c>
      <c r="Q2" s="11" t="s">
        <v>146</v>
      </c>
      <c r="R2" s="11" t="s">
        <v>147</v>
      </c>
      <c r="S2" s="11" t="s">
        <v>148</v>
      </c>
      <c r="T2" s="11" t="s">
        <v>149</v>
      </c>
      <c r="U2" s="11" t="s">
        <v>150</v>
      </c>
      <c r="V2" s="11" t="s">
        <v>74</v>
      </c>
      <c r="W2" s="11" t="s">
        <v>151</v>
      </c>
      <c r="X2" s="11" t="s">
        <v>152</v>
      </c>
      <c r="Y2" s="11" t="s">
        <v>153</v>
      </c>
      <c r="Z2" s="11" t="s">
        <v>69</v>
      </c>
      <c r="AA2" s="17" t="s">
        <v>154</v>
      </c>
      <c r="AB2" s="17" t="s">
        <v>155</v>
      </c>
      <c r="AC2" s="17" t="s">
        <v>156</v>
      </c>
      <c r="AD2" s="17" t="s">
        <v>157</v>
      </c>
      <c r="AE2" s="17" t="s">
        <v>158</v>
      </c>
      <c r="AF2" s="17" t="s">
        <v>159</v>
      </c>
      <c r="AG2" s="17" t="s">
        <v>160</v>
      </c>
      <c r="AH2" s="11" t="s">
        <v>161</v>
      </c>
      <c r="AI2" s="11" t="s">
        <v>162</v>
      </c>
      <c r="AJ2" s="11" t="s">
        <v>163</v>
      </c>
      <c r="AK2" s="11" t="s">
        <v>164</v>
      </c>
      <c r="AL2" s="11" t="s">
        <v>70</v>
      </c>
      <c r="AM2" s="11" t="s">
        <v>201</v>
      </c>
      <c r="AN2" s="11" t="s">
        <v>165</v>
      </c>
      <c r="AO2" s="11" t="s">
        <v>166</v>
      </c>
      <c r="AP2" s="11" t="s">
        <v>167</v>
      </c>
      <c r="AQ2" s="11" t="s">
        <v>168</v>
      </c>
      <c r="AR2" s="19" t="s">
        <v>169</v>
      </c>
      <c r="AS2" s="19" t="s">
        <v>170</v>
      </c>
    </row>
    <row r="3" spans="1:45" ht="16" x14ac:dyDescent="0.2">
      <c r="A3" s="10" t="s">
        <v>118</v>
      </c>
      <c r="C3" s="12" t="s">
        <v>256</v>
      </c>
      <c r="D3" s="12" t="s">
        <v>173</v>
      </c>
      <c r="E3" s="12" t="s">
        <v>257</v>
      </c>
      <c r="F3" s="12" t="s">
        <v>208</v>
      </c>
      <c r="G3" s="12" t="s">
        <v>218</v>
      </c>
      <c r="H3" s="12" t="s">
        <v>230</v>
      </c>
      <c r="I3" s="15" t="s">
        <v>178</v>
      </c>
      <c r="J3" s="15" t="s">
        <v>249</v>
      </c>
      <c r="K3" s="15" t="s">
        <v>180</v>
      </c>
      <c r="L3" s="15" t="s">
        <v>181</v>
      </c>
      <c r="M3" s="15" t="s">
        <v>210</v>
      </c>
      <c r="N3" s="15" t="s">
        <v>234</v>
      </c>
      <c r="O3" s="15" t="s">
        <v>258</v>
      </c>
      <c r="P3" s="15" t="s">
        <v>259</v>
      </c>
      <c r="Q3" s="15" t="s">
        <v>187</v>
      </c>
      <c r="R3" s="15" t="s">
        <v>215</v>
      </c>
      <c r="S3" s="15" t="s">
        <v>179</v>
      </c>
      <c r="T3" s="15" t="s">
        <v>260</v>
      </c>
      <c r="U3" s="15" t="s">
        <v>261</v>
      </c>
      <c r="V3" s="15" t="s">
        <v>184</v>
      </c>
      <c r="W3" s="15" t="s">
        <v>192</v>
      </c>
      <c r="X3" s="22" t="s">
        <v>262</v>
      </c>
      <c r="Y3" s="15" t="s">
        <v>263</v>
      </c>
      <c r="Z3" s="15" t="s">
        <v>195</v>
      </c>
      <c r="AA3" s="16" t="s">
        <v>179</v>
      </c>
      <c r="AB3" s="16" t="s">
        <v>179</v>
      </c>
      <c r="AC3" s="16" t="s">
        <v>179</v>
      </c>
      <c r="AD3" s="16" t="s">
        <v>264</v>
      </c>
      <c r="AE3" s="16" t="s">
        <v>426</v>
      </c>
      <c r="AF3" s="16" t="s">
        <v>197</v>
      </c>
      <c r="AG3" s="16" t="s">
        <v>198</v>
      </c>
      <c r="AH3" s="16" t="s">
        <v>218</v>
      </c>
      <c r="AI3" s="16" t="s">
        <v>530</v>
      </c>
      <c r="AJ3" s="16" t="s">
        <v>208</v>
      </c>
      <c r="AK3" s="16" t="s">
        <v>218</v>
      </c>
      <c r="AL3" s="16" t="s">
        <v>265</v>
      </c>
      <c r="AM3" s="16" t="s">
        <v>58</v>
      </c>
      <c r="AN3" s="16" t="s">
        <v>202</v>
      </c>
      <c r="AO3" s="16" t="s">
        <v>209</v>
      </c>
      <c r="AP3" s="16" t="s">
        <v>266</v>
      </c>
      <c r="AQ3" s="16" t="s">
        <v>244</v>
      </c>
      <c r="AR3" s="18">
        <v>3</v>
      </c>
      <c r="AS3" s="18" t="s">
        <v>225</v>
      </c>
    </row>
    <row r="4" spans="1:45" ht="16" x14ac:dyDescent="0.2">
      <c r="A4" s="10" t="s">
        <v>119</v>
      </c>
      <c r="C4" s="12" t="s">
        <v>267</v>
      </c>
      <c r="D4" s="12" t="s">
        <v>227</v>
      </c>
      <c r="E4" s="12" t="s">
        <v>268</v>
      </c>
      <c r="F4" s="12" t="s">
        <v>208</v>
      </c>
      <c r="G4" s="12" t="s">
        <v>175</v>
      </c>
      <c r="H4" s="12" t="s">
        <v>177</v>
      </c>
      <c r="I4" s="15" t="s">
        <v>178</v>
      </c>
      <c r="J4" s="15" t="s">
        <v>232</v>
      </c>
      <c r="K4" s="15" t="s">
        <v>269</v>
      </c>
      <c r="L4" s="15" t="s">
        <v>181</v>
      </c>
      <c r="M4" s="15" t="s">
        <v>177</v>
      </c>
      <c r="N4" s="15" t="s">
        <v>270</v>
      </c>
      <c r="O4" s="15" t="s">
        <v>271</v>
      </c>
      <c r="P4" s="15" t="s">
        <v>213</v>
      </c>
      <c r="Q4" s="15" t="s">
        <v>272</v>
      </c>
      <c r="R4" s="15" t="s">
        <v>188</v>
      </c>
      <c r="S4" s="15" t="s">
        <v>179</v>
      </c>
      <c r="T4" s="15" t="s">
        <v>271</v>
      </c>
      <c r="U4" s="15" t="s">
        <v>261</v>
      </c>
      <c r="V4" s="15" t="s">
        <v>273</v>
      </c>
      <c r="W4" s="15" t="s">
        <v>192</v>
      </c>
      <c r="X4" s="22" t="s">
        <v>262</v>
      </c>
      <c r="Y4" s="22" t="s">
        <v>207</v>
      </c>
      <c r="Z4" s="15" t="s">
        <v>195</v>
      </c>
      <c r="AA4" s="23" t="s">
        <v>274</v>
      </c>
      <c r="AB4" s="16" t="s">
        <v>179</v>
      </c>
      <c r="AC4" s="16" t="s">
        <v>179</v>
      </c>
      <c r="AD4" s="16" t="s">
        <v>179</v>
      </c>
      <c r="AE4" s="16" t="s">
        <v>177</v>
      </c>
      <c r="AF4" s="23" t="s">
        <v>275</v>
      </c>
      <c r="AG4" s="16" t="s">
        <v>198</v>
      </c>
      <c r="AH4" s="16" t="s">
        <v>199</v>
      </c>
      <c r="AI4" s="16" t="s">
        <v>177</v>
      </c>
      <c r="AJ4" s="16" t="s">
        <v>208</v>
      </c>
      <c r="AK4" s="16" t="s">
        <v>58</v>
      </c>
      <c r="AL4" s="16" t="s">
        <v>200</v>
      </c>
      <c r="AM4" s="16" t="s">
        <v>58</v>
      </c>
      <c r="AN4" s="16" t="s">
        <v>276</v>
      </c>
      <c r="AO4" s="16" t="s">
        <v>285</v>
      </c>
      <c r="AP4" s="16" t="s">
        <v>277</v>
      </c>
      <c r="AQ4" s="16" t="s">
        <v>244</v>
      </c>
      <c r="AR4" s="18">
        <v>3</v>
      </c>
      <c r="AS4" s="18" t="s">
        <v>207</v>
      </c>
    </row>
    <row r="5" spans="1:45" ht="16" x14ac:dyDescent="0.2">
      <c r="A5" s="10" t="s">
        <v>77</v>
      </c>
      <c r="C5" s="12" t="s">
        <v>246</v>
      </c>
      <c r="D5" s="12" t="s">
        <v>173</v>
      </c>
      <c r="E5" s="12" t="s">
        <v>224</v>
      </c>
      <c r="F5" s="12" t="s">
        <v>208</v>
      </c>
      <c r="G5" s="12" t="s">
        <v>175</v>
      </c>
      <c r="H5" s="12" t="s">
        <v>177</v>
      </c>
      <c r="I5" s="15" t="s">
        <v>278</v>
      </c>
      <c r="J5" s="15" t="s">
        <v>249</v>
      </c>
      <c r="K5" s="15" t="s">
        <v>279</v>
      </c>
      <c r="L5" s="15" t="s">
        <v>181</v>
      </c>
      <c r="M5" s="15" t="s">
        <v>177</v>
      </c>
      <c r="N5" s="15" t="s">
        <v>280</v>
      </c>
      <c r="O5" s="15" t="s">
        <v>189</v>
      </c>
      <c r="P5" s="15" t="s">
        <v>213</v>
      </c>
      <c r="Q5" s="15" t="s">
        <v>214</v>
      </c>
      <c r="R5" s="15" t="s">
        <v>236</v>
      </c>
      <c r="S5" s="15" t="s">
        <v>179</v>
      </c>
      <c r="T5" s="15" t="s">
        <v>189</v>
      </c>
      <c r="U5" s="15" t="s">
        <v>281</v>
      </c>
      <c r="V5" s="15" t="s">
        <v>368</v>
      </c>
      <c r="W5" s="15" t="s">
        <v>192</v>
      </c>
      <c r="X5" s="15" t="s">
        <v>193</v>
      </c>
      <c r="Y5" s="15" t="s">
        <v>282</v>
      </c>
      <c r="Z5" s="15" t="s">
        <v>220</v>
      </c>
      <c r="AA5" s="23" t="s">
        <v>283</v>
      </c>
      <c r="AB5" s="16" t="s">
        <v>179</v>
      </c>
      <c r="AC5" s="16" t="s">
        <v>179</v>
      </c>
      <c r="AD5" s="16" t="s">
        <v>240</v>
      </c>
      <c r="AE5" s="16" t="s">
        <v>230</v>
      </c>
      <c r="AF5" s="16" t="s">
        <v>222</v>
      </c>
      <c r="AG5" s="16" t="s">
        <v>265</v>
      </c>
      <c r="AH5" s="16" t="s">
        <v>284</v>
      </c>
      <c r="AI5" s="16" t="s">
        <v>177</v>
      </c>
      <c r="AJ5" s="16" t="s">
        <v>208</v>
      </c>
      <c r="AK5" s="16" t="s">
        <v>284</v>
      </c>
      <c r="AL5" s="16" t="s">
        <v>265</v>
      </c>
      <c r="AM5" s="16" t="s">
        <v>58</v>
      </c>
      <c r="AN5" s="16" t="s">
        <v>276</v>
      </c>
      <c r="AO5" s="16" t="s">
        <v>285</v>
      </c>
      <c r="AP5" s="16" t="s">
        <v>224</v>
      </c>
      <c r="AQ5" s="16" t="s">
        <v>244</v>
      </c>
      <c r="AR5" s="18" t="s">
        <v>286</v>
      </c>
      <c r="AS5" s="18" t="s">
        <v>225</v>
      </c>
    </row>
    <row r="6" spans="1:45" ht="16" x14ac:dyDescent="0.2">
      <c r="A6" s="10" t="s">
        <v>508</v>
      </c>
      <c r="C6" s="12" t="s">
        <v>58</v>
      </c>
      <c r="D6" s="12" t="s">
        <v>173</v>
      </c>
      <c r="E6" s="12" t="s">
        <v>58</v>
      </c>
      <c r="F6" s="12" t="s">
        <v>208</v>
      </c>
      <c r="G6" s="12" t="s">
        <v>218</v>
      </c>
      <c r="H6" s="12" t="s">
        <v>208</v>
      </c>
      <c r="I6" s="15" t="s">
        <v>327</v>
      </c>
      <c r="J6" s="15" t="s">
        <v>179</v>
      </c>
      <c r="K6" s="15" t="s">
        <v>209</v>
      </c>
      <c r="L6" s="15" t="s">
        <v>58</v>
      </c>
      <c r="M6" s="15" t="s">
        <v>415</v>
      </c>
      <c r="N6" s="15" t="s">
        <v>290</v>
      </c>
      <c r="O6" s="15" t="s">
        <v>290</v>
      </c>
      <c r="P6" s="15" t="s">
        <v>308</v>
      </c>
      <c r="Q6" s="15" t="s">
        <v>214</v>
      </c>
      <c r="R6" s="15" t="s">
        <v>253</v>
      </c>
      <c r="S6" s="15" t="s">
        <v>179</v>
      </c>
      <c r="T6" s="15" t="s">
        <v>290</v>
      </c>
      <c r="U6" s="15" t="s">
        <v>344</v>
      </c>
      <c r="V6" s="15" t="s">
        <v>225</v>
      </c>
      <c r="W6" s="15" t="s">
        <v>192</v>
      </c>
      <c r="X6" s="15" t="s">
        <v>351</v>
      </c>
      <c r="Y6" s="15" t="s">
        <v>310</v>
      </c>
      <c r="Z6" s="15" t="s">
        <v>299</v>
      </c>
      <c r="AA6" s="23" t="s">
        <v>179</v>
      </c>
      <c r="AB6" s="16" t="s">
        <v>179</v>
      </c>
      <c r="AC6" s="16" t="s">
        <v>179</v>
      </c>
      <c r="AD6" s="16" t="s">
        <v>404</v>
      </c>
      <c r="AE6" s="16" t="s">
        <v>177</v>
      </c>
      <c r="AF6" s="16" t="s">
        <v>197</v>
      </c>
      <c r="AG6" s="16" t="s">
        <v>198</v>
      </c>
      <c r="AH6" s="16" t="s">
        <v>58</v>
      </c>
      <c r="AI6" s="16" t="s">
        <v>208</v>
      </c>
      <c r="AJ6" s="16" t="s">
        <v>208</v>
      </c>
      <c r="AK6" s="16" t="s">
        <v>58</v>
      </c>
      <c r="AL6" s="16" t="s">
        <v>200</v>
      </c>
      <c r="AM6" s="16" t="s">
        <v>58</v>
      </c>
      <c r="AN6" s="16">
        <v>0</v>
      </c>
      <c r="AO6" s="16" t="s">
        <v>209</v>
      </c>
      <c r="AP6" s="16" t="s">
        <v>58</v>
      </c>
      <c r="AQ6" s="16" t="s">
        <v>209</v>
      </c>
      <c r="AR6" s="18">
        <v>3</v>
      </c>
      <c r="AS6" s="18" t="s">
        <v>207</v>
      </c>
    </row>
    <row r="7" spans="1:45" ht="16" x14ac:dyDescent="0.2">
      <c r="A7" s="10" t="s">
        <v>120</v>
      </c>
      <c r="B7" t="s">
        <v>66</v>
      </c>
      <c r="C7" s="12" t="s">
        <v>58</v>
      </c>
      <c r="D7" s="12" t="s">
        <v>287</v>
      </c>
      <c r="E7" s="12" t="s">
        <v>228</v>
      </c>
      <c r="F7" s="12" t="s">
        <v>208</v>
      </c>
      <c r="G7" s="12" t="s">
        <v>218</v>
      </c>
      <c r="H7" s="20" t="s">
        <v>208</v>
      </c>
      <c r="I7" s="15" t="s">
        <v>178</v>
      </c>
      <c r="J7" s="15" t="s">
        <v>288</v>
      </c>
      <c r="K7" s="15" t="s">
        <v>289</v>
      </c>
      <c r="L7" s="15" t="s">
        <v>181</v>
      </c>
      <c r="M7" s="15" t="s">
        <v>208</v>
      </c>
      <c r="N7" s="15" t="s">
        <v>290</v>
      </c>
      <c r="O7" s="15" t="s">
        <v>189</v>
      </c>
      <c r="P7" s="15" t="s">
        <v>213</v>
      </c>
      <c r="Q7" s="15" t="s">
        <v>235</v>
      </c>
      <c r="R7" s="15" t="s">
        <v>188</v>
      </c>
      <c r="S7" s="15" t="s">
        <v>179</v>
      </c>
      <c r="T7" s="15" t="s">
        <v>291</v>
      </c>
      <c r="U7" s="15" t="s">
        <v>292</v>
      </c>
      <c r="V7" s="15" t="s">
        <v>212</v>
      </c>
      <c r="W7" s="15" t="s">
        <v>192</v>
      </c>
      <c r="X7" s="15" t="s">
        <v>193</v>
      </c>
      <c r="Y7" s="15" t="s">
        <v>238</v>
      </c>
      <c r="Z7" s="15" t="s">
        <v>259</v>
      </c>
      <c r="AA7" s="16" t="s">
        <v>179</v>
      </c>
      <c r="AB7" s="16" t="s">
        <v>179</v>
      </c>
      <c r="AC7" s="16" t="s">
        <v>179</v>
      </c>
      <c r="AD7" s="16" t="s">
        <v>254</v>
      </c>
      <c r="AE7" s="16" t="s">
        <v>208</v>
      </c>
      <c r="AF7" s="16" t="s">
        <v>197</v>
      </c>
      <c r="AG7" s="16" t="s">
        <v>198</v>
      </c>
      <c r="AH7" s="16" t="s">
        <v>293</v>
      </c>
      <c r="AI7" s="16" t="s">
        <v>529</v>
      </c>
      <c r="AJ7" s="16" t="s">
        <v>208</v>
      </c>
      <c r="AK7" s="16" t="s">
        <v>199</v>
      </c>
      <c r="AL7" s="23" t="s">
        <v>294</v>
      </c>
      <c r="AM7" s="16" t="s">
        <v>58</v>
      </c>
      <c r="AN7" s="16" t="s">
        <v>202</v>
      </c>
      <c r="AO7" s="16" t="s">
        <v>209</v>
      </c>
      <c r="AP7" s="16" t="s">
        <v>243</v>
      </c>
      <c r="AQ7" s="16" t="s">
        <v>295</v>
      </c>
      <c r="AR7" s="18">
        <v>3</v>
      </c>
      <c r="AS7" s="18" t="s">
        <v>225</v>
      </c>
    </row>
    <row r="8" spans="1:45" ht="16" x14ac:dyDescent="0.2">
      <c r="A8" s="10" t="s">
        <v>121</v>
      </c>
      <c r="C8" s="12" t="s">
        <v>296</v>
      </c>
      <c r="D8" s="12" t="s">
        <v>173</v>
      </c>
      <c r="E8" s="12" t="s">
        <v>257</v>
      </c>
      <c r="F8" s="12" t="s">
        <v>174</v>
      </c>
      <c r="G8" s="12" t="s">
        <v>218</v>
      </c>
      <c r="H8" s="12" t="s">
        <v>177</v>
      </c>
      <c r="I8" s="15" t="s">
        <v>178</v>
      </c>
      <c r="J8" s="15" t="s">
        <v>249</v>
      </c>
      <c r="K8" s="15" t="s">
        <v>297</v>
      </c>
      <c r="L8" s="15" t="s">
        <v>181</v>
      </c>
      <c r="M8" s="15" t="s">
        <v>210</v>
      </c>
      <c r="N8" s="15" t="s">
        <v>298</v>
      </c>
      <c r="O8" s="15" t="s">
        <v>189</v>
      </c>
      <c r="P8" s="15" t="s">
        <v>367</v>
      </c>
      <c r="Q8" s="15" t="s">
        <v>253</v>
      </c>
      <c r="R8" s="15" t="s">
        <v>253</v>
      </c>
      <c r="S8" s="15" t="s">
        <v>179</v>
      </c>
      <c r="T8" s="15" t="s">
        <v>271</v>
      </c>
      <c r="U8" s="15" t="s">
        <v>216</v>
      </c>
      <c r="V8" s="15" t="s">
        <v>237</v>
      </c>
      <c r="W8" s="22" t="s">
        <v>300</v>
      </c>
      <c r="X8" s="15" t="s">
        <v>193</v>
      </c>
      <c r="Y8" s="15" t="s">
        <v>238</v>
      </c>
      <c r="AA8" s="23" t="s">
        <v>274</v>
      </c>
      <c r="AB8" s="16" t="s">
        <v>179</v>
      </c>
      <c r="AC8" s="16" t="s">
        <v>179</v>
      </c>
      <c r="AD8" s="16" t="s">
        <v>179</v>
      </c>
      <c r="AE8" s="16" t="s">
        <v>306</v>
      </c>
      <c r="AF8" s="16" t="s">
        <v>197</v>
      </c>
      <c r="AG8" s="16" t="s">
        <v>198</v>
      </c>
      <c r="AH8" s="16" t="s">
        <v>301</v>
      </c>
      <c r="AI8" s="16" t="s">
        <v>177</v>
      </c>
      <c r="AJ8" s="16" t="s">
        <v>208</v>
      </c>
      <c r="AK8" s="16" t="s">
        <v>58</v>
      </c>
      <c r="AL8" s="16" t="s">
        <v>302</v>
      </c>
      <c r="AM8" s="16" t="s">
        <v>58</v>
      </c>
      <c r="AN8" s="16" t="s">
        <v>202</v>
      </c>
      <c r="AO8" s="16" t="s">
        <v>303</v>
      </c>
      <c r="AP8" s="16" t="s">
        <v>243</v>
      </c>
      <c r="AQ8" s="16" t="s">
        <v>205</v>
      </c>
      <c r="AR8" s="18" t="s">
        <v>286</v>
      </c>
      <c r="AS8" s="18" t="s">
        <v>225</v>
      </c>
    </row>
    <row r="9" spans="1:45" ht="16" x14ac:dyDescent="0.2">
      <c r="A9" s="10" t="s">
        <v>122</v>
      </c>
      <c r="B9" t="s">
        <v>307</v>
      </c>
      <c r="C9" s="12" t="s">
        <v>304</v>
      </c>
      <c r="D9" s="12" t="s">
        <v>173</v>
      </c>
      <c r="E9" s="12" t="s">
        <v>224</v>
      </c>
      <c r="F9" s="12" t="s">
        <v>305</v>
      </c>
      <c r="G9" s="12" t="s">
        <v>175</v>
      </c>
      <c r="H9" s="12" t="s">
        <v>306</v>
      </c>
      <c r="I9" s="15" t="s">
        <v>178</v>
      </c>
      <c r="J9" s="15" t="s">
        <v>288</v>
      </c>
      <c r="K9" s="15" t="s">
        <v>180</v>
      </c>
      <c r="L9" s="15" t="s">
        <v>58</v>
      </c>
      <c r="M9" s="15" t="s">
        <v>431</v>
      </c>
      <c r="N9" s="15" t="s">
        <v>290</v>
      </c>
      <c r="O9" s="15" t="s">
        <v>291</v>
      </c>
      <c r="P9" s="15" t="s">
        <v>308</v>
      </c>
      <c r="Q9" s="15" t="s">
        <v>253</v>
      </c>
      <c r="R9" s="15" t="s">
        <v>215</v>
      </c>
      <c r="S9" s="15" t="s">
        <v>179</v>
      </c>
      <c r="T9" s="15" t="s">
        <v>225</v>
      </c>
      <c r="U9" s="15" t="s">
        <v>309</v>
      </c>
      <c r="V9" s="15" t="s">
        <v>237</v>
      </c>
      <c r="W9" s="15" t="s">
        <v>192</v>
      </c>
      <c r="X9" s="15" t="s">
        <v>193</v>
      </c>
      <c r="Y9" s="15" t="s">
        <v>310</v>
      </c>
      <c r="Z9" s="15" t="s">
        <v>259</v>
      </c>
      <c r="AA9" s="16" t="s">
        <v>179</v>
      </c>
      <c r="AB9" s="16" t="s">
        <v>179</v>
      </c>
      <c r="AC9" s="16" t="s">
        <v>179</v>
      </c>
      <c r="AE9" s="16" t="s">
        <v>306</v>
      </c>
      <c r="AF9" s="16" t="s">
        <v>197</v>
      </c>
      <c r="AG9" s="16" t="s">
        <v>198</v>
      </c>
      <c r="AH9" s="16" t="s">
        <v>218</v>
      </c>
      <c r="AI9" s="16" t="s">
        <v>306</v>
      </c>
      <c r="AJ9" s="16" t="s">
        <v>311</v>
      </c>
      <c r="AK9" s="16" t="s">
        <v>284</v>
      </c>
      <c r="AM9" s="16" t="s">
        <v>181</v>
      </c>
      <c r="AN9" s="16" t="s">
        <v>312</v>
      </c>
      <c r="AO9" s="16" t="s">
        <v>209</v>
      </c>
      <c r="AP9" s="16" t="s">
        <v>299</v>
      </c>
      <c r="AQ9" s="16" t="s">
        <v>295</v>
      </c>
      <c r="AR9" s="18">
        <v>2</v>
      </c>
      <c r="AS9" s="18" t="s">
        <v>225</v>
      </c>
    </row>
    <row r="10" spans="1:45" ht="16" x14ac:dyDescent="0.2">
      <c r="A10" s="10" t="s">
        <v>75</v>
      </c>
      <c r="B10" t="s">
        <v>314</v>
      </c>
      <c r="C10" s="12" t="s">
        <v>304</v>
      </c>
      <c r="D10" s="12" t="s">
        <v>173</v>
      </c>
      <c r="E10" s="12" t="s">
        <v>224</v>
      </c>
      <c r="F10" s="12" t="s">
        <v>313</v>
      </c>
      <c r="G10" s="12" t="s">
        <v>181</v>
      </c>
      <c r="H10" s="12" t="s">
        <v>306</v>
      </c>
      <c r="I10" s="15" t="s">
        <v>178</v>
      </c>
      <c r="J10" s="15" t="s">
        <v>315</v>
      </c>
      <c r="K10" s="15" t="s">
        <v>180</v>
      </c>
      <c r="L10" s="15" t="s">
        <v>181</v>
      </c>
      <c r="M10" s="15" t="s">
        <v>431</v>
      </c>
      <c r="N10" s="15" t="s">
        <v>183</v>
      </c>
      <c r="O10" s="15" t="s">
        <v>291</v>
      </c>
      <c r="P10" s="15" t="s">
        <v>220</v>
      </c>
      <c r="Q10" s="15" t="s">
        <v>235</v>
      </c>
      <c r="R10" s="15" t="s">
        <v>188</v>
      </c>
      <c r="S10" s="15" t="s">
        <v>316</v>
      </c>
      <c r="T10" s="15" t="s">
        <v>291</v>
      </c>
      <c r="U10" s="15" t="s">
        <v>317</v>
      </c>
      <c r="V10" s="15" t="s">
        <v>318</v>
      </c>
      <c r="W10" s="15" t="s">
        <v>192</v>
      </c>
      <c r="X10" s="22" t="s">
        <v>319</v>
      </c>
      <c r="Y10" s="15" t="s">
        <v>238</v>
      </c>
      <c r="Z10" s="15" t="s">
        <v>320</v>
      </c>
      <c r="AA10" s="16" t="s">
        <v>179</v>
      </c>
      <c r="AB10" s="16" t="s">
        <v>179</v>
      </c>
      <c r="AC10" s="16" t="s">
        <v>179</v>
      </c>
      <c r="AD10" s="16" t="s">
        <v>179</v>
      </c>
      <c r="AE10" s="16" t="s">
        <v>427</v>
      </c>
      <c r="AF10" s="16" t="s">
        <v>321</v>
      </c>
      <c r="AG10" s="16" t="s">
        <v>265</v>
      </c>
      <c r="AH10" s="16" t="s">
        <v>199</v>
      </c>
      <c r="AI10" s="16" t="s">
        <v>531</v>
      </c>
      <c r="AJ10" s="16" t="s">
        <v>322</v>
      </c>
      <c r="AK10" s="16" t="s">
        <v>199</v>
      </c>
      <c r="AL10" s="16" t="s">
        <v>302</v>
      </c>
      <c r="AM10" s="16" t="s">
        <v>58</v>
      </c>
      <c r="AN10" s="16" t="s">
        <v>202</v>
      </c>
      <c r="AO10" s="16" t="s">
        <v>323</v>
      </c>
      <c r="AP10" s="16" t="s">
        <v>324</v>
      </c>
      <c r="AQ10" s="16" t="s">
        <v>205</v>
      </c>
      <c r="AR10" s="18">
        <v>3</v>
      </c>
      <c r="AS10" s="18" t="s">
        <v>225</v>
      </c>
    </row>
    <row r="11" spans="1:45" ht="16" x14ac:dyDescent="0.2">
      <c r="A11" s="10" t="s">
        <v>123</v>
      </c>
      <c r="B11" t="s">
        <v>72</v>
      </c>
      <c r="C11" s="12" t="s">
        <v>325</v>
      </c>
      <c r="D11" s="12" t="s">
        <v>227</v>
      </c>
      <c r="E11" s="27" t="s">
        <v>326</v>
      </c>
      <c r="F11" s="12" t="s">
        <v>208</v>
      </c>
      <c r="G11" s="12" t="s">
        <v>218</v>
      </c>
      <c r="H11" s="12" t="s">
        <v>177</v>
      </c>
      <c r="I11" s="15" t="s">
        <v>327</v>
      </c>
      <c r="J11" s="15" t="s">
        <v>179</v>
      </c>
      <c r="K11" s="15" t="s">
        <v>180</v>
      </c>
      <c r="L11" s="15" t="s">
        <v>218</v>
      </c>
      <c r="M11" s="15" t="s">
        <v>177</v>
      </c>
      <c r="N11" s="15" t="s">
        <v>183</v>
      </c>
      <c r="O11" s="15" t="s">
        <v>225</v>
      </c>
      <c r="P11" s="15" t="s">
        <v>328</v>
      </c>
      <c r="Q11" s="15" t="s">
        <v>329</v>
      </c>
      <c r="R11" s="15" t="s">
        <v>225</v>
      </c>
      <c r="S11" s="15" t="s">
        <v>179</v>
      </c>
      <c r="T11" s="15" t="s">
        <v>291</v>
      </c>
      <c r="U11" s="15" t="s">
        <v>330</v>
      </c>
      <c r="V11" s="15" t="s">
        <v>207</v>
      </c>
      <c r="W11" s="15" t="s">
        <v>192</v>
      </c>
      <c r="X11" s="15" t="s">
        <v>218</v>
      </c>
      <c r="Y11" s="15" t="s">
        <v>310</v>
      </c>
      <c r="Z11" s="15" t="s">
        <v>259</v>
      </c>
      <c r="AA11" s="16" t="s">
        <v>179</v>
      </c>
      <c r="AB11" s="16" t="s">
        <v>179</v>
      </c>
      <c r="AC11" s="16" t="s">
        <v>179</v>
      </c>
      <c r="AD11" s="16" t="s">
        <v>254</v>
      </c>
      <c r="AE11" s="16" t="s">
        <v>177</v>
      </c>
      <c r="AF11" s="16" t="s">
        <v>331</v>
      </c>
      <c r="AG11" s="16" t="s">
        <v>198</v>
      </c>
      <c r="AH11" s="16" t="s">
        <v>284</v>
      </c>
      <c r="AI11" s="16" t="s">
        <v>177</v>
      </c>
      <c r="AJ11" s="16" t="s">
        <v>208</v>
      </c>
      <c r="AK11" s="16" t="s">
        <v>199</v>
      </c>
      <c r="AL11" s="16" t="s">
        <v>265</v>
      </c>
      <c r="AM11" s="16" t="s">
        <v>58</v>
      </c>
      <c r="AN11" s="16" t="s">
        <v>332</v>
      </c>
      <c r="AO11" s="16" t="s">
        <v>333</v>
      </c>
      <c r="AP11" s="16" t="s">
        <v>299</v>
      </c>
      <c r="AQ11" s="16" t="s">
        <v>295</v>
      </c>
      <c r="AR11" s="18">
        <v>3</v>
      </c>
      <c r="AS11" s="18" t="s">
        <v>225</v>
      </c>
    </row>
    <row r="12" spans="1:45" ht="16" x14ac:dyDescent="0.2">
      <c r="A12" s="10" t="s">
        <v>125</v>
      </c>
      <c r="C12" s="12" t="s">
        <v>256</v>
      </c>
      <c r="D12" s="12" t="s">
        <v>227</v>
      </c>
      <c r="E12" s="12" t="s">
        <v>528</v>
      </c>
      <c r="F12" s="12" t="s">
        <v>208</v>
      </c>
      <c r="G12" s="12" t="s">
        <v>218</v>
      </c>
      <c r="H12" s="12" t="s">
        <v>177</v>
      </c>
      <c r="I12" s="15" t="s">
        <v>327</v>
      </c>
      <c r="J12" s="15" t="s">
        <v>179</v>
      </c>
      <c r="K12" s="15" t="s">
        <v>209</v>
      </c>
      <c r="L12" s="15" t="s">
        <v>175</v>
      </c>
      <c r="M12" s="15" t="s">
        <v>177</v>
      </c>
      <c r="N12" s="15" t="s">
        <v>211</v>
      </c>
      <c r="O12" s="15" t="s">
        <v>189</v>
      </c>
      <c r="P12" s="15" t="s">
        <v>213</v>
      </c>
      <c r="Q12" s="15" t="s">
        <v>214</v>
      </c>
      <c r="R12" s="15" t="s">
        <v>215</v>
      </c>
      <c r="S12" s="15" t="s">
        <v>179</v>
      </c>
      <c r="T12" s="15" t="s">
        <v>334</v>
      </c>
      <c r="U12" s="15" t="s">
        <v>216</v>
      </c>
      <c r="V12" s="22" t="s">
        <v>335</v>
      </c>
      <c r="W12" s="15" t="s">
        <v>192</v>
      </c>
      <c r="X12" s="22" t="s">
        <v>193</v>
      </c>
      <c r="Y12" s="15" t="s">
        <v>238</v>
      </c>
      <c r="Z12" s="15" t="s">
        <v>308</v>
      </c>
      <c r="AA12" s="16" t="s">
        <v>179</v>
      </c>
      <c r="AB12" s="16" t="s">
        <v>179</v>
      </c>
      <c r="AC12" s="16" t="s">
        <v>179</v>
      </c>
      <c r="AD12" s="16" t="s">
        <v>254</v>
      </c>
      <c r="AE12" s="16" t="s">
        <v>177</v>
      </c>
      <c r="AF12" s="16" t="s">
        <v>197</v>
      </c>
      <c r="AG12" s="16" t="s">
        <v>200</v>
      </c>
      <c r="AH12" s="16" t="s">
        <v>336</v>
      </c>
      <c r="AI12" s="16" t="s">
        <v>208</v>
      </c>
      <c r="AJ12" s="16" t="s">
        <v>208</v>
      </c>
      <c r="AK12" s="16" t="s">
        <v>284</v>
      </c>
      <c r="AL12" s="16" t="s">
        <v>200</v>
      </c>
      <c r="AM12" s="16" t="s">
        <v>58</v>
      </c>
      <c r="AN12" s="16" t="s">
        <v>337</v>
      </c>
      <c r="AO12" s="16" t="s">
        <v>323</v>
      </c>
      <c r="AP12" s="28" t="s">
        <v>326</v>
      </c>
      <c r="AQ12" s="16" t="s">
        <v>209</v>
      </c>
      <c r="AR12" s="18">
        <v>3</v>
      </c>
      <c r="AS12" s="18" t="s">
        <v>225</v>
      </c>
    </row>
    <row r="13" spans="1:45" ht="16" x14ac:dyDescent="0.2">
      <c r="A13" s="10" t="s">
        <v>126</v>
      </c>
      <c r="B13" t="s">
        <v>73</v>
      </c>
      <c r="C13" s="12" t="s">
        <v>304</v>
      </c>
      <c r="D13" s="12" t="s">
        <v>173</v>
      </c>
      <c r="E13" s="12" t="s">
        <v>58</v>
      </c>
      <c r="F13" s="12" t="s">
        <v>208</v>
      </c>
      <c r="G13" s="12" t="s">
        <v>218</v>
      </c>
      <c r="H13" s="12" t="s">
        <v>177</v>
      </c>
      <c r="I13" s="15" t="s">
        <v>178</v>
      </c>
      <c r="J13" s="15" t="s">
        <v>179</v>
      </c>
      <c r="K13" s="15" t="s">
        <v>297</v>
      </c>
      <c r="L13" s="15" t="s">
        <v>175</v>
      </c>
      <c r="M13" s="15" t="s">
        <v>177</v>
      </c>
      <c r="N13" s="15" t="s">
        <v>298</v>
      </c>
      <c r="O13" s="15" t="s">
        <v>212</v>
      </c>
      <c r="P13" s="15" t="s">
        <v>299</v>
      </c>
      <c r="Q13" s="15" t="s">
        <v>214</v>
      </c>
      <c r="R13" s="15" t="s">
        <v>188</v>
      </c>
      <c r="S13" s="15" t="s">
        <v>179</v>
      </c>
      <c r="T13" s="15" t="s">
        <v>225</v>
      </c>
      <c r="U13" s="15" t="s">
        <v>344</v>
      </c>
      <c r="V13" s="15" t="s">
        <v>335</v>
      </c>
      <c r="W13" s="15" t="s">
        <v>192</v>
      </c>
      <c r="X13" s="22" t="s">
        <v>206</v>
      </c>
      <c r="Y13" s="15" t="s">
        <v>194</v>
      </c>
      <c r="Z13" s="15" t="s">
        <v>299</v>
      </c>
      <c r="AA13" s="16" t="s">
        <v>179</v>
      </c>
      <c r="AB13" s="16" t="s">
        <v>179</v>
      </c>
      <c r="AC13" s="16" t="s">
        <v>179</v>
      </c>
      <c r="AD13" s="16" t="s">
        <v>254</v>
      </c>
      <c r="AE13" s="16" t="s">
        <v>177</v>
      </c>
      <c r="AF13" s="16" t="s">
        <v>222</v>
      </c>
      <c r="AG13" s="16" t="s">
        <v>198</v>
      </c>
      <c r="AH13" s="16" t="s">
        <v>284</v>
      </c>
      <c r="AI13" s="16" t="s">
        <v>177</v>
      </c>
      <c r="AJ13" s="16" t="s">
        <v>208</v>
      </c>
      <c r="AK13" s="16" t="s">
        <v>199</v>
      </c>
      <c r="AL13" s="16" t="s">
        <v>200</v>
      </c>
      <c r="AM13" s="16" t="s">
        <v>58</v>
      </c>
      <c r="AN13" s="25" t="s">
        <v>345</v>
      </c>
      <c r="AO13" s="16" t="s">
        <v>209</v>
      </c>
      <c r="AP13" s="16" t="s">
        <v>243</v>
      </c>
      <c r="AQ13" s="16" t="s">
        <v>205</v>
      </c>
      <c r="AR13" s="18">
        <v>3</v>
      </c>
      <c r="AS13" s="18" t="s">
        <v>245</v>
      </c>
    </row>
    <row r="14" spans="1:45" ht="16" x14ac:dyDescent="0.2">
      <c r="A14" s="10" t="s">
        <v>127</v>
      </c>
      <c r="B14" t="s">
        <v>307</v>
      </c>
      <c r="C14" s="12" t="s">
        <v>346</v>
      </c>
      <c r="D14" s="12" t="s">
        <v>227</v>
      </c>
      <c r="E14" s="12" t="s">
        <v>204</v>
      </c>
      <c r="F14" s="12" t="s">
        <v>208</v>
      </c>
      <c r="G14" s="12" t="s">
        <v>218</v>
      </c>
      <c r="H14" s="12" t="s">
        <v>177</v>
      </c>
      <c r="I14" s="15" t="s">
        <v>178</v>
      </c>
      <c r="J14" s="15" t="s">
        <v>179</v>
      </c>
      <c r="K14" s="15" t="s">
        <v>289</v>
      </c>
      <c r="L14" s="15" t="s">
        <v>218</v>
      </c>
      <c r="M14" s="15" t="s">
        <v>177</v>
      </c>
      <c r="N14" s="15" t="s">
        <v>298</v>
      </c>
      <c r="O14" s="15" t="s">
        <v>347</v>
      </c>
      <c r="P14" s="15" t="s">
        <v>213</v>
      </c>
      <c r="Q14" s="15" t="s">
        <v>235</v>
      </c>
      <c r="R14" s="15" t="s">
        <v>188</v>
      </c>
      <c r="S14" s="15" t="s">
        <v>179</v>
      </c>
      <c r="T14" s="15" t="s">
        <v>189</v>
      </c>
      <c r="U14" s="15" t="s">
        <v>216</v>
      </c>
      <c r="V14" s="15" t="s">
        <v>217</v>
      </c>
      <c r="W14" s="15" t="s">
        <v>192</v>
      </c>
      <c r="X14" s="15" t="s">
        <v>218</v>
      </c>
      <c r="Y14" s="15" t="s">
        <v>238</v>
      </c>
      <c r="Z14" s="15" t="s">
        <v>259</v>
      </c>
      <c r="AA14" s="16" t="s">
        <v>179</v>
      </c>
      <c r="AB14" s="16" t="s">
        <v>179</v>
      </c>
      <c r="AC14" s="16" t="s">
        <v>348</v>
      </c>
      <c r="AD14" s="16" t="s">
        <v>254</v>
      </c>
      <c r="AE14" s="16" t="s">
        <v>306</v>
      </c>
      <c r="AF14" s="16" t="s">
        <v>255</v>
      </c>
      <c r="AG14" s="16" t="s">
        <v>265</v>
      </c>
      <c r="AH14" s="16" t="s">
        <v>293</v>
      </c>
      <c r="AI14" s="16" t="s">
        <v>177</v>
      </c>
      <c r="AJ14" s="16" t="s">
        <v>208</v>
      </c>
      <c r="AK14" s="16" t="s">
        <v>199</v>
      </c>
      <c r="AL14" s="16" t="s">
        <v>265</v>
      </c>
      <c r="AM14" s="16" t="s">
        <v>58</v>
      </c>
      <c r="AN14" s="23" t="s">
        <v>202</v>
      </c>
      <c r="AO14" s="16" t="s">
        <v>323</v>
      </c>
      <c r="AP14" s="16" t="s">
        <v>224</v>
      </c>
      <c r="AQ14" s="16" t="s">
        <v>205</v>
      </c>
      <c r="AR14" s="18">
        <v>3</v>
      </c>
      <c r="AS14" s="18" t="s">
        <v>225</v>
      </c>
    </row>
    <row r="15" spans="1:45" x14ac:dyDescent="0.2">
      <c r="A15" s="9" t="s">
        <v>76</v>
      </c>
      <c r="B15" t="s">
        <v>68</v>
      </c>
      <c r="C15" s="12" t="s">
        <v>172</v>
      </c>
      <c r="D15" s="12" t="s">
        <v>173</v>
      </c>
      <c r="E15" s="20" t="s">
        <v>58</v>
      </c>
      <c r="F15" s="12" t="s">
        <v>174</v>
      </c>
      <c r="G15" s="12" t="s">
        <v>175</v>
      </c>
      <c r="H15" s="12" t="s">
        <v>177</v>
      </c>
      <c r="I15" s="15" t="s">
        <v>178</v>
      </c>
      <c r="J15" s="15" t="s">
        <v>179</v>
      </c>
      <c r="K15" s="15" t="s">
        <v>180</v>
      </c>
      <c r="L15" s="15" t="s">
        <v>181</v>
      </c>
      <c r="M15" s="15" t="s">
        <v>182</v>
      </c>
      <c r="N15" s="15" t="s">
        <v>183</v>
      </c>
      <c r="O15" s="15" t="s">
        <v>184</v>
      </c>
      <c r="P15" s="15" t="s">
        <v>186</v>
      </c>
      <c r="Q15" s="15" t="s">
        <v>187</v>
      </c>
      <c r="R15" s="15" t="s">
        <v>188</v>
      </c>
      <c r="S15" s="15" t="s">
        <v>179</v>
      </c>
      <c r="T15" s="15" t="s">
        <v>189</v>
      </c>
      <c r="U15" s="15" t="s">
        <v>190</v>
      </c>
      <c r="V15" s="15" t="s">
        <v>191</v>
      </c>
      <c r="W15" s="15" t="s">
        <v>192</v>
      </c>
      <c r="X15" s="15" t="s">
        <v>193</v>
      </c>
      <c r="Y15" s="15" t="s">
        <v>194</v>
      </c>
      <c r="Z15" s="15" t="s">
        <v>195</v>
      </c>
      <c r="AA15" s="16" t="s">
        <v>179</v>
      </c>
      <c r="AB15" s="16" t="s">
        <v>179</v>
      </c>
      <c r="AC15" s="16" t="s">
        <v>179</v>
      </c>
      <c r="AD15" s="16" t="s">
        <v>196</v>
      </c>
      <c r="AE15" s="16" t="s">
        <v>306</v>
      </c>
      <c r="AF15" s="16" t="s">
        <v>197</v>
      </c>
      <c r="AG15" s="16" t="s">
        <v>198</v>
      </c>
      <c r="AH15" s="16" t="s">
        <v>199</v>
      </c>
      <c r="AI15" s="16" t="s">
        <v>177</v>
      </c>
      <c r="AJ15" s="16" t="s">
        <v>373</v>
      </c>
      <c r="AK15" s="16" t="s">
        <v>58</v>
      </c>
      <c r="AL15" s="16" t="s">
        <v>200</v>
      </c>
      <c r="AM15" s="16" t="s">
        <v>58</v>
      </c>
      <c r="AN15" s="16" t="s">
        <v>202</v>
      </c>
      <c r="AO15" s="16" t="s">
        <v>203</v>
      </c>
      <c r="AQ15" s="16" t="s">
        <v>205</v>
      </c>
      <c r="AR15" s="18">
        <v>3</v>
      </c>
      <c r="AS15" s="18" t="s">
        <v>207</v>
      </c>
    </row>
    <row r="16" spans="1:45" ht="16" x14ac:dyDescent="0.2">
      <c r="A16" s="10" t="s">
        <v>129</v>
      </c>
      <c r="B16" t="s">
        <v>231</v>
      </c>
      <c r="C16" s="12" t="s">
        <v>172</v>
      </c>
      <c r="D16" s="12" t="s">
        <v>227</v>
      </c>
      <c r="E16" s="12" t="s">
        <v>257</v>
      </c>
      <c r="F16" s="12" t="s">
        <v>349</v>
      </c>
      <c r="G16" s="12" t="s">
        <v>218</v>
      </c>
      <c r="H16" s="12" t="s">
        <v>177</v>
      </c>
      <c r="I16" s="15" t="s">
        <v>327</v>
      </c>
      <c r="J16" s="15" t="s">
        <v>249</v>
      </c>
      <c r="K16" s="15" t="s">
        <v>269</v>
      </c>
      <c r="L16" s="15" t="s">
        <v>218</v>
      </c>
      <c r="M16" s="15" t="s">
        <v>177</v>
      </c>
      <c r="N16" s="15" t="s">
        <v>298</v>
      </c>
      <c r="O16" s="15" t="s">
        <v>350</v>
      </c>
      <c r="P16" s="15" t="s">
        <v>213</v>
      </c>
      <c r="Q16" s="15" t="s">
        <v>329</v>
      </c>
      <c r="R16" s="15" t="s">
        <v>215</v>
      </c>
      <c r="S16" s="15" t="s">
        <v>179</v>
      </c>
      <c r="T16" s="15" t="s">
        <v>260</v>
      </c>
      <c r="U16" s="15" t="s">
        <v>433</v>
      </c>
      <c r="V16" s="15" t="s">
        <v>217</v>
      </c>
      <c r="W16" s="15" t="s">
        <v>192</v>
      </c>
      <c r="X16" s="15" t="s">
        <v>351</v>
      </c>
      <c r="Y16" s="15" t="s">
        <v>238</v>
      </c>
      <c r="Z16" s="15" t="s">
        <v>195</v>
      </c>
      <c r="AA16" s="16" t="s">
        <v>274</v>
      </c>
      <c r="AB16" s="16" t="s">
        <v>179</v>
      </c>
      <c r="AC16" s="16" t="s">
        <v>179</v>
      </c>
      <c r="AD16" s="16" t="s">
        <v>254</v>
      </c>
      <c r="AE16" s="16" t="s">
        <v>177</v>
      </c>
      <c r="AF16" s="16" t="s">
        <v>222</v>
      </c>
      <c r="AG16" s="16" t="s">
        <v>198</v>
      </c>
      <c r="AH16" s="16" t="s">
        <v>284</v>
      </c>
      <c r="AI16" s="16" t="s">
        <v>177</v>
      </c>
      <c r="AJ16" s="16" t="s">
        <v>208</v>
      </c>
      <c r="AK16" s="16" t="s">
        <v>336</v>
      </c>
      <c r="AL16" s="16" t="s">
        <v>198</v>
      </c>
      <c r="AM16" s="16" t="s">
        <v>58</v>
      </c>
      <c r="AN16" s="16" t="s">
        <v>202</v>
      </c>
      <c r="AO16" s="16" t="s">
        <v>352</v>
      </c>
      <c r="AP16" s="16" t="s">
        <v>204</v>
      </c>
      <c r="AQ16" s="16" t="s">
        <v>205</v>
      </c>
      <c r="AR16" s="18">
        <v>2</v>
      </c>
      <c r="AS16" s="18" t="s">
        <v>225</v>
      </c>
    </row>
    <row r="17" spans="1:45" x14ac:dyDescent="0.2">
      <c r="A17" s="9" t="s">
        <v>79</v>
      </c>
      <c r="B17" t="s">
        <v>248</v>
      </c>
      <c r="C17" s="12" t="s">
        <v>246</v>
      </c>
      <c r="D17" s="12" t="s">
        <v>227</v>
      </c>
      <c r="E17" s="12" t="s">
        <v>247</v>
      </c>
      <c r="F17" s="12" t="s">
        <v>208</v>
      </c>
      <c r="G17" s="12" t="s">
        <v>218</v>
      </c>
      <c r="H17" s="12" t="s">
        <v>177</v>
      </c>
      <c r="I17" s="15" t="s">
        <v>178</v>
      </c>
      <c r="J17" s="15" t="s">
        <v>249</v>
      </c>
      <c r="K17" s="15" t="s">
        <v>180</v>
      </c>
      <c r="L17" s="15" t="s">
        <v>181</v>
      </c>
      <c r="M17" s="15" t="s">
        <v>177</v>
      </c>
      <c r="N17" s="15" t="s">
        <v>234</v>
      </c>
      <c r="O17" s="15" t="s">
        <v>212</v>
      </c>
      <c r="P17" s="15" t="s">
        <v>213</v>
      </c>
      <c r="Q17" s="15" t="s">
        <v>214</v>
      </c>
      <c r="R17" s="15" t="s">
        <v>250</v>
      </c>
      <c r="S17" s="15" t="s">
        <v>179</v>
      </c>
      <c r="T17" s="15" t="s">
        <v>225</v>
      </c>
      <c r="U17" s="15" t="s">
        <v>216</v>
      </c>
      <c r="V17" s="15" t="s">
        <v>251</v>
      </c>
      <c r="W17" s="15" t="s">
        <v>192</v>
      </c>
      <c r="X17" s="15" t="s">
        <v>218</v>
      </c>
      <c r="Y17" s="15" t="s">
        <v>238</v>
      </c>
      <c r="Z17" s="15" t="s">
        <v>195</v>
      </c>
      <c r="AA17" s="16" t="s">
        <v>179</v>
      </c>
      <c r="AB17" s="16" t="s">
        <v>252</v>
      </c>
      <c r="AC17" s="16" t="s">
        <v>253</v>
      </c>
      <c r="AD17" s="16" t="s">
        <v>254</v>
      </c>
      <c r="AE17" s="16" t="s">
        <v>177</v>
      </c>
      <c r="AF17" s="16" t="s">
        <v>255</v>
      </c>
      <c r="AG17" s="16" t="s">
        <v>198</v>
      </c>
      <c r="AH17" s="16" t="s">
        <v>199</v>
      </c>
      <c r="AI17" s="16" t="s">
        <v>177</v>
      </c>
      <c r="AJ17" s="16" t="s">
        <v>208</v>
      </c>
      <c r="AK17" s="16" t="s">
        <v>58</v>
      </c>
      <c r="AL17" s="16" t="s">
        <v>200</v>
      </c>
      <c r="AM17" s="16" t="s">
        <v>181</v>
      </c>
      <c r="AN17" s="16" t="s">
        <v>241</v>
      </c>
      <c r="AO17" s="16" t="s">
        <v>242</v>
      </c>
      <c r="AP17" s="16" t="s">
        <v>243</v>
      </c>
      <c r="AQ17" s="16" t="s">
        <v>244</v>
      </c>
      <c r="AR17" s="18">
        <v>3</v>
      </c>
      <c r="AS17" s="18" t="s">
        <v>245</v>
      </c>
    </row>
    <row r="18" spans="1:45" ht="16" x14ac:dyDescent="0.2">
      <c r="A18" s="10" t="s">
        <v>130</v>
      </c>
      <c r="B18" t="s">
        <v>353</v>
      </c>
      <c r="C18" s="12" t="s">
        <v>354</v>
      </c>
      <c r="D18" s="12" t="s">
        <v>287</v>
      </c>
      <c r="E18" s="12" t="s">
        <v>243</v>
      </c>
      <c r="F18" s="12" t="s">
        <v>208</v>
      </c>
      <c r="G18" s="12" t="s">
        <v>218</v>
      </c>
      <c r="H18" s="12" t="s">
        <v>177</v>
      </c>
      <c r="I18" s="15" t="s">
        <v>327</v>
      </c>
      <c r="J18" s="15" t="s">
        <v>179</v>
      </c>
      <c r="K18" s="15" t="s">
        <v>209</v>
      </c>
      <c r="L18" s="15" t="s">
        <v>58</v>
      </c>
      <c r="M18" s="15" t="s">
        <v>177</v>
      </c>
      <c r="N18" s="15" t="s">
        <v>211</v>
      </c>
      <c r="O18" s="15" t="s">
        <v>189</v>
      </c>
      <c r="P18" s="15" t="s">
        <v>308</v>
      </c>
      <c r="Q18" s="15" t="s">
        <v>253</v>
      </c>
      <c r="R18" s="15" t="s">
        <v>253</v>
      </c>
      <c r="S18" s="15" t="s">
        <v>179</v>
      </c>
      <c r="T18" s="15" t="s">
        <v>225</v>
      </c>
      <c r="U18" s="15" t="s">
        <v>216</v>
      </c>
      <c r="V18" s="15" t="s">
        <v>335</v>
      </c>
      <c r="W18" s="15" t="s">
        <v>192</v>
      </c>
      <c r="X18" s="15" t="s">
        <v>218</v>
      </c>
      <c r="Y18" s="15" t="s">
        <v>355</v>
      </c>
      <c r="Z18" s="15" t="s">
        <v>195</v>
      </c>
      <c r="AA18" s="16" t="s">
        <v>179</v>
      </c>
      <c r="AB18" s="16" t="s">
        <v>179</v>
      </c>
      <c r="AC18" s="16" t="s">
        <v>179</v>
      </c>
      <c r="AD18" s="16" t="s">
        <v>240</v>
      </c>
      <c r="AE18" s="16" t="s">
        <v>208</v>
      </c>
      <c r="AF18" s="16" t="s">
        <v>275</v>
      </c>
      <c r="AG18" s="16" t="s">
        <v>198</v>
      </c>
      <c r="AH18" s="16" t="s">
        <v>218</v>
      </c>
      <c r="AI18" s="16" t="s">
        <v>177</v>
      </c>
      <c r="AJ18" s="16" t="s">
        <v>208</v>
      </c>
      <c r="AK18" s="16" t="s">
        <v>284</v>
      </c>
      <c r="AL18" s="16" t="s">
        <v>200</v>
      </c>
      <c r="AM18" s="16" t="s">
        <v>58</v>
      </c>
      <c r="AN18" s="16" t="s">
        <v>337</v>
      </c>
      <c r="AO18" s="16" t="s">
        <v>323</v>
      </c>
      <c r="AP18" s="16" t="s">
        <v>299</v>
      </c>
      <c r="AQ18" s="16" t="s">
        <v>244</v>
      </c>
      <c r="AR18" s="18">
        <v>3</v>
      </c>
      <c r="AS18" s="18" t="s">
        <v>225</v>
      </c>
    </row>
    <row r="19" spans="1:45" ht="16" x14ac:dyDescent="0.2">
      <c r="A19" s="10" t="s">
        <v>131</v>
      </c>
      <c r="B19" t="s">
        <v>67</v>
      </c>
      <c r="C19" s="12" t="s">
        <v>325</v>
      </c>
      <c r="D19" s="12" t="s">
        <v>227</v>
      </c>
      <c r="E19" s="12" t="s">
        <v>204</v>
      </c>
      <c r="F19" s="12" t="s">
        <v>208</v>
      </c>
      <c r="G19" s="12" t="s">
        <v>218</v>
      </c>
      <c r="H19" s="12" t="s">
        <v>177</v>
      </c>
      <c r="I19" s="15" t="s">
        <v>178</v>
      </c>
      <c r="J19" s="15" t="s">
        <v>179</v>
      </c>
      <c r="K19" s="15" t="s">
        <v>180</v>
      </c>
      <c r="L19" s="15" t="s">
        <v>181</v>
      </c>
      <c r="M19" s="15" t="s">
        <v>177</v>
      </c>
      <c r="N19" s="15" t="s">
        <v>298</v>
      </c>
      <c r="O19" s="15" t="s">
        <v>347</v>
      </c>
      <c r="P19" s="15" t="s">
        <v>195</v>
      </c>
      <c r="Q19" s="15" t="s">
        <v>272</v>
      </c>
      <c r="R19" s="15" t="s">
        <v>188</v>
      </c>
      <c r="S19" s="15" t="s">
        <v>179</v>
      </c>
      <c r="T19" s="15" t="s">
        <v>225</v>
      </c>
      <c r="U19" s="15" t="s">
        <v>216</v>
      </c>
      <c r="V19" s="15" t="s">
        <v>217</v>
      </c>
      <c r="W19" s="15" t="s">
        <v>192</v>
      </c>
      <c r="X19" s="15" t="s">
        <v>193</v>
      </c>
      <c r="Y19" s="15" t="s">
        <v>194</v>
      </c>
      <c r="Z19" s="15" t="s">
        <v>213</v>
      </c>
      <c r="AA19" s="16" t="s">
        <v>179</v>
      </c>
      <c r="AB19" s="16" t="s">
        <v>179</v>
      </c>
      <c r="AC19" s="16" t="s">
        <v>179</v>
      </c>
      <c r="AD19" s="16" t="s">
        <v>254</v>
      </c>
      <c r="AE19" s="16" t="s">
        <v>177</v>
      </c>
      <c r="AF19" s="16" t="s">
        <v>197</v>
      </c>
      <c r="AG19" s="16" t="s">
        <v>198</v>
      </c>
      <c r="AH19" s="16" t="s">
        <v>199</v>
      </c>
      <c r="AI19" s="16" t="s">
        <v>177</v>
      </c>
      <c r="AJ19" s="16" t="s">
        <v>208</v>
      </c>
      <c r="AK19" s="16" t="s">
        <v>58</v>
      </c>
      <c r="AL19" s="16" t="s">
        <v>200</v>
      </c>
      <c r="AM19" s="16" t="s">
        <v>356</v>
      </c>
      <c r="AN19" s="16" t="s">
        <v>357</v>
      </c>
      <c r="AO19" s="16" t="s">
        <v>323</v>
      </c>
      <c r="AP19" s="16" t="s">
        <v>204</v>
      </c>
      <c r="AQ19" s="16" t="s">
        <v>205</v>
      </c>
      <c r="AR19" s="18">
        <v>3</v>
      </c>
      <c r="AS19" s="18" t="s">
        <v>225</v>
      </c>
    </row>
    <row r="20" spans="1:45" ht="16" x14ac:dyDescent="0.2">
      <c r="A20" s="10" t="s">
        <v>132</v>
      </c>
      <c r="B20" t="s">
        <v>360</v>
      </c>
      <c r="C20" s="12" t="s">
        <v>267</v>
      </c>
      <c r="D20" s="12" t="s">
        <v>227</v>
      </c>
      <c r="E20" s="12" t="s">
        <v>358</v>
      </c>
      <c r="F20" s="12" t="s">
        <v>322</v>
      </c>
      <c r="G20" s="12" t="s">
        <v>175</v>
      </c>
      <c r="H20" s="12" t="s">
        <v>359</v>
      </c>
      <c r="I20" s="15" t="s">
        <v>178</v>
      </c>
      <c r="J20" s="15" t="s">
        <v>361</v>
      </c>
      <c r="K20" s="15" t="s">
        <v>180</v>
      </c>
      <c r="L20" s="15" t="s">
        <v>181</v>
      </c>
      <c r="M20" s="15" t="s">
        <v>210</v>
      </c>
      <c r="N20" s="15" t="s">
        <v>298</v>
      </c>
      <c r="O20" s="15" t="s">
        <v>362</v>
      </c>
      <c r="P20" s="15" t="s">
        <v>220</v>
      </c>
      <c r="Q20" s="15" t="s">
        <v>272</v>
      </c>
      <c r="R20" s="15" t="s">
        <v>363</v>
      </c>
      <c r="S20" s="15" t="s">
        <v>179</v>
      </c>
      <c r="T20" s="15" t="s">
        <v>189</v>
      </c>
      <c r="U20" s="15" t="s">
        <v>364</v>
      </c>
      <c r="V20" s="15" t="s">
        <v>191</v>
      </c>
      <c r="W20" s="15" t="s">
        <v>192</v>
      </c>
      <c r="X20" s="15" t="s">
        <v>319</v>
      </c>
      <c r="Y20" s="15" t="s">
        <v>194</v>
      </c>
      <c r="Z20" s="15" t="s">
        <v>195</v>
      </c>
      <c r="AA20" s="16" t="s">
        <v>179</v>
      </c>
      <c r="AB20" s="16" t="s">
        <v>179</v>
      </c>
      <c r="AC20" s="16" t="s">
        <v>179</v>
      </c>
      <c r="AD20" s="16" t="s">
        <v>240</v>
      </c>
      <c r="AE20" s="16" t="s">
        <v>427</v>
      </c>
      <c r="AF20" s="16" t="s">
        <v>197</v>
      </c>
      <c r="AG20" s="16" t="s">
        <v>198</v>
      </c>
      <c r="AH20" s="16" t="s">
        <v>284</v>
      </c>
      <c r="AI20" s="16" t="s">
        <v>532</v>
      </c>
      <c r="AJ20" s="16" t="s">
        <v>322</v>
      </c>
      <c r="AK20" s="16" t="s">
        <v>58</v>
      </c>
      <c r="AL20" s="16" t="s">
        <v>200</v>
      </c>
      <c r="AM20" s="16" t="s">
        <v>58</v>
      </c>
      <c r="AN20" s="16" t="s">
        <v>202</v>
      </c>
      <c r="AO20" s="16" t="s">
        <v>352</v>
      </c>
      <c r="AP20" s="16" t="s">
        <v>266</v>
      </c>
      <c r="AQ20" s="16" t="s">
        <v>244</v>
      </c>
      <c r="AR20" s="18">
        <v>3</v>
      </c>
      <c r="AS20" s="18" t="s">
        <v>225</v>
      </c>
    </row>
    <row r="21" spans="1:45" x14ac:dyDescent="0.2">
      <c r="A21" s="9" t="s">
        <v>78</v>
      </c>
      <c r="C21" s="12" t="s">
        <v>172</v>
      </c>
      <c r="D21" s="12" t="s">
        <v>173</v>
      </c>
      <c r="E21" s="20" t="s">
        <v>58</v>
      </c>
      <c r="F21" s="12" t="s">
        <v>208</v>
      </c>
      <c r="G21" s="12" t="s">
        <v>175</v>
      </c>
      <c r="H21" s="12" t="s">
        <v>177</v>
      </c>
      <c r="I21" s="15" t="s">
        <v>178</v>
      </c>
      <c r="J21" s="15" t="s">
        <v>179</v>
      </c>
      <c r="K21" s="15" t="s">
        <v>209</v>
      </c>
      <c r="L21" s="15" t="s">
        <v>181</v>
      </c>
      <c r="M21" s="15" t="s">
        <v>210</v>
      </c>
      <c r="N21" s="15" t="s">
        <v>211</v>
      </c>
      <c r="O21" s="15" t="s">
        <v>212</v>
      </c>
      <c r="P21" s="15" t="s">
        <v>213</v>
      </c>
      <c r="Q21" s="15" t="s">
        <v>214</v>
      </c>
      <c r="R21" s="15" t="s">
        <v>215</v>
      </c>
      <c r="S21" s="15" t="s">
        <v>179</v>
      </c>
      <c r="T21" s="15" t="s">
        <v>189</v>
      </c>
      <c r="U21" s="15" t="s">
        <v>216</v>
      </c>
      <c r="V21" s="15" t="s">
        <v>217</v>
      </c>
      <c r="W21" s="15" t="s">
        <v>192</v>
      </c>
      <c r="X21" s="15" t="s">
        <v>218</v>
      </c>
      <c r="Y21" s="15" t="s">
        <v>219</v>
      </c>
      <c r="Z21" s="15" t="s">
        <v>220</v>
      </c>
      <c r="AA21" s="16" t="s">
        <v>179</v>
      </c>
      <c r="AB21" s="16" t="s">
        <v>179</v>
      </c>
      <c r="AC21" s="16" t="s">
        <v>179</v>
      </c>
      <c r="AD21" s="16" t="s">
        <v>221</v>
      </c>
      <c r="AE21" s="16" t="s">
        <v>306</v>
      </c>
      <c r="AF21" s="16" t="s">
        <v>222</v>
      </c>
      <c r="AG21" s="16" t="s">
        <v>198</v>
      </c>
      <c r="AH21" s="16" t="s">
        <v>199</v>
      </c>
      <c r="AI21" s="16" t="s">
        <v>223</v>
      </c>
      <c r="AJ21" s="16" t="s">
        <v>208</v>
      </c>
      <c r="AK21" s="16" t="s">
        <v>58</v>
      </c>
      <c r="AL21" s="16" t="s">
        <v>198</v>
      </c>
      <c r="AM21" s="16" t="s">
        <v>58</v>
      </c>
      <c r="AN21" s="16" t="s">
        <v>202</v>
      </c>
      <c r="AO21" s="16" t="s">
        <v>203</v>
      </c>
      <c r="AP21" s="16" t="s">
        <v>224</v>
      </c>
      <c r="AQ21" s="16" t="s">
        <v>209</v>
      </c>
      <c r="AR21" s="18">
        <v>3</v>
      </c>
      <c r="AS21" s="18" t="s">
        <v>225</v>
      </c>
    </row>
    <row r="22" spans="1:45" ht="16" x14ac:dyDescent="0.2">
      <c r="A22" s="10" t="s">
        <v>133</v>
      </c>
      <c r="B22" t="s">
        <v>369</v>
      </c>
      <c r="C22" s="12" t="s">
        <v>365</v>
      </c>
      <c r="D22" s="12" t="s">
        <v>173</v>
      </c>
      <c r="E22" s="12" t="s">
        <v>204</v>
      </c>
      <c r="F22" s="12" t="s">
        <v>322</v>
      </c>
      <c r="G22" s="12" t="s">
        <v>175</v>
      </c>
      <c r="H22" s="12" t="s">
        <v>306</v>
      </c>
      <c r="I22" s="15" t="s">
        <v>178</v>
      </c>
      <c r="J22" s="15" t="s">
        <v>249</v>
      </c>
      <c r="K22" s="15" t="s">
        <v>180</v>
      </c>
      <c r="L22" s="15" t="s">
        <v>181</v>
      </c>
      <c r="M22" s="15" t="s">
        <v>210</v>
      </c>
      <c r="N22" s="15" t="s">
        <v>298</v>
      </c>
      <c r="O22" s="15" t="s">
        <v>366</v>
      </c>
      <c r="P22" s="15" t="s">
        <v>195</v>
      </c>
      <c r="Q22" s="15" t="s">
        <v>214</v>
      </c>
      <c r="R22" s="15" t="s">
        <v>215</v>
      </c>
      <c r="S22" s="15" t="s">
        <v>179</v>
      </c>
      <c r="T22" s="15" t="s">
        <v>189</v>
      </c>
      <c r="U22" s="15" t="s">
        <v>317</v>
      </c>
      <c r="V22" s="15" t="s">
        <v>191</v>
      </c>
      <c r="W22" s="15" t="s">
        <v>192</v>
      </c>
      <c r="X22" s="15" t="s">
        <v>218</v>
      </c>
      <c r="Y22" s="15" t="s">
        <v>238</v>
      </c>
      <c r="Z22" s="15" t="s">
        <v>195</v>
      </c>
      <c r="AA22" s="16" t="s">
        <v>179</v>
      </c>
      <c r="AB22" s="16" t="s">
        <v>179</v>
      </c>
      <c r="AC22" s="16" t="s">
        <v>179</v>
      </c>
      <c r="AD22" s="16" t="s">
        <v>179</v>
      </c>
      <c r="AE22" s="16" t="s">
        <v>306</v>
      </c>
      <c r="AF22" s="16" t="s">
        <v>197</v>
      </c>
      <c r="AG22" s="16" t="s">
        <v>265</v>
      </c>
      <c r="AH22" s="16" t="s">
        <v>199</v>
      </c>
      <c r="AI22" s="16" t="s">
        <v>531</v>
      </c>
      <c r="AJ22" s="16" t="s">
        <v>174</v>
      </c>
      <c r="AK22" s="16" t="s">
        <v>58</v>
      </c>
      <c r="AL22" s="16" t="s">
        <v>200</v>
      </c>
      <c r="AM22" s="16" t="s">
        <v>58</v>
      </c>
      <c r="AN22" s="16" t="s">
        <v>276</v>
      </c>
      <c r="AO22" s="16" t="s">
        <v>303</v>
      </c>
      <c r="AP22" s="16" t="s">
        <v>243</v>
      </c>
      <c r="AQ22" s="23" t="s">
        <v>244</v>
      </c>
      <c r="AR22" s="18">
        <v>3</v>
      </c>
      <c r="AS22" s="18" t="s">
        <v>225</v>
      </c>
    </row>
    <row r="23" spans="1:45" x14ac:dyDescent="0.2">
      <c r="A23" s="9" t="s">
        <v>117</v>
      </c>
      <c r="B23" t="s">
        <v>231</v>
      </c>
      <c r="C23" s="12" t="s">
        <v>226</v>
      </c>
      <c r="D23" s="12" t="s">
        <v>227</v>
      </c>
      <c r="E23" s="12" t="s">
        <v>228</v>
      </c>
      <c r="F23" s="12" t="s">
        <v>229</v>
      </c>
      <c r="G23" s="12" t="s">
        <v>175</v>
      </c>
      <c r="H23" s="12" t="s">
        <v>230</v>
      </c>
      <c r="I23" s="15" t="s">
        <v>178</v>
      </c>
      <c r="J23" s="15" t="s">
        <v>232</v>
      </c>
      <c r="K23" s="15" t="s">
        <v>233</v>
      </c>
      <c r="L23" s="15" t="s">
        <v>181</v>
      </c>
      <c r="M23" s="15" t="s">
        <v>210</v>
      </c>
      <c r="N23" s="15" t="s">
        <v>234</v>
      </c>
      <c r="O23" s="21" t="s">
        <v>258</v>
      </c>
      <c r="P23" s="15" t="s">
        <v>186</v>
      </c>
      <c r="Q23" s="15" t="s">
        <v>235</v>
      </c>
      <c r="R23" s="15" t="s">
        <v>236</v>
      </c>
      <c r="S23" s="15" t="s">
        <v>179</v>
      </c>
      <c r="T23" s="15" t="s">
        <v>189</v>
      </c>
      <c r="U23" s="15" t="s">
        <v>216</v>
      </c>
      <c r="V23" s="15" t="s">
        <v>237</v>
      </c>
      <c r="W23" s="15" t="s">
        <v>192</v>
      </c>
      <c r="X23" s="15" t="s">
        <v>193</v>
      </c>
      <c r="Y23" s="15" t="s">
        <v>238</v>
      </c>
      <c r="Z23" s="15" t="s">
        <v>239</v>
      </c>
      <c r="AA23" s="16" t="s">
        <v>179</v>
      </c>
      <c r="AB23" s="16" t="s">
        <v>179</v>
      </c>
      <c r="AC23" s="16" t="s">
        <v>179</v>
      </c>
      <c r="AD23" s="16" t="s">
        <v>240</v>
      </c>
      <c r="AE23" s="16" t="s">
        <v>306</v>
      </c>
      <c r="AF23" s="16" t="s">
        <v>197</v>
      </c>
      <c r="AG23" s="16" t="s">
        <v>198</v>
      </c>
      <c r="AH23" s="16" t="s">
        <v>199</v>
      </c>
      <c r="AI23" s="16" t="s">
        <v>531</v>
      </c>
      <c r="AJ23" s="16" t="s">
        <v>208</v>
      </c>
      <c r="AK23" s="16" t="s">
        <v>58</v>
      </c>
      <c r="AL23" s="16" t="s">
        <v>200</v>
      </c>
      <c r="AM23" s="16" t="s">
        <v>181</v>
      </c>
      <c r="AN23" s="16" t="s">
        <v>241</v>
      </c>
      <c r="AO23" s="16" t="s">
        <v>242</v>
      </c>
      <c r="AP23" s="16" t="s">
        <v>243</v>
      </c>
      <c r="AQ23" s="16" t="s">
        <v>244</v>
      </c>
      <c r="AR23" s="18">
        <v>3</v>
      </c>
      <c r="AS23" s="18" t="s">
        <v>245</v>
      </c>
    </row>
    <row r="24" spans="1:45" ht="16" x14ac:dyDescent="0.2">
      <c r="A24" s="10" t="s">
        <v>134</v>
      </c>
      <c r="B24" t="s">
        <v>371</v>
      </c>
      <c r="C24" s="12" t="s">
        <v>256</v>
      </c>
      <c r="D24" s="12" t="s">
        <v>227</v>
      </c>
      <c r="E24" s="12" t="s">
        <v>370</v>
      </c>
      <c r="F24" s="12" t="s">
        <v>229</v>
      </c>
      <c r="G24" s="12" t="s">
        <v>175</v>
      </c>
      <c r="H24" s="12" t="s">
        <v>230</v>
      </c>
      <c r="I24" s="15" t="s">
        <v>178</v>
      </c>
      <c r="J24" s="15" t="s">
        <v>232</v>
      </c>
      <c r="K24" s="15" t="s">
        <v>233</v>
      </c>
      <c r="L24" s="15" t="s">
        <v>181</v>
      </c>
      <c r="M24" s="15" t="s">
        <v>210</v>
      </c>
      <c r="N24" s="15" t="s">
        <v>298</v>
      </c>
      <c r="O24" s="15" t="s">
        <v>347</v>
      </c>
      <c r="P24" s="15" t="s">
        <v>213</v>
      </c>
      <c r="Q24" s="15" t="s">
        <v>214</v>
      </c>
      <c r="R24" s="15" t="s">
        <v>215</v>
      </c>
      <c r="S24" s="15" t="s">
        <v>179</v>
      </c>
      <c r="T24" s="15" t="s">
        <v>291</v>
      </c>
      <c r="U24" s="15" t="s">
        <v>364</v>
      </c>
      <c r="V24" s="15" t="s">
        <v>191</v>
      </c>
      <c r="W24" s="15" t="s">
        <v>192</v>
      </c>
      <c r="X24" s="15" t="s">
        <v>193</v>
      </c>
      <c r="Y24" s="15" t="s">
        <v>238</v>
      </c>
      <c r="Z24" s="15" t="s">
        <v>220</v>
      </c>
      <c r="AA24" s="16" t="s">
        <v>179</v>
      </c>
      <c r="AB24" s="16" t="s">
        <v>179</v>
      </c>
      <c r="AC24" s="16" t="s">
        <v>179</v>
      </c>
      <c r="AD24" s="16" t="s">
        <v>179</v>
      </c>
      <c r="AE24" s="16" t="s">
        <v>359</v>
      </c>
      <c r="AF24" s="16" t="s">
        <v>197</v>
      </c>
      <c r="AG24" s="16" t="s">
        <v>198</v>
      </c>
      <c r="AH24" s="16" t="s">
        <v>284</v>
      </c>
      <c r="AI24" s="16" t="s">
        <v>529</v>
      </c>
      <c r="AJ24" s="16" t="s">
        <v>208</v>
      </c>
      <c r="AK24" s="16" t="s">
        <v>372</v>
      </c>
      <c r="AL24" s="16" t="s">
        <v>265</v>
      </c>
      <c r="AM24" s="16" t="s">
        <v>58</v>
      </c>
      <c r="AN24" s="16" t="s">
        <v>202</v>
      </c>
      <c r="AO24" s="16" t="s">
        <v>303</v>
      </c>
      <c r="AP24" s="16" t="s">
        <v>243</v>
      </c>
      <c r="AQ24" s="16" t="s">
        <v>205</v>
      </c>
      <c r="AR24" s="18">
        <v>3</v>
      </c>
      <c r="AS24" s="18" t="s">
        <v>225</v>
      </c>
    </row>
    <row r="25" spans="1:45" ht="16" x14ac:dyDescent="0.2">
      <c r="A25" s="10" t="s">
        <v>511</v>
      </c>
      <c r="B25" t="s">
        <v>519</v>
      </c>
      <c r="C25" s="12" t="s">
        <v>226</v>
      </c>
      <c r="D25" s="12" t="s">
        <v>227</v>
      </c>
      <c r="E25" s="12" t="s">
        <v>370</v>
      </c>
      <c r="F25" s="12" t="s">
        <v>373</v>
      </c>
      <c r="G25" s="12" t="s">
        <v>175</v>
      </c>
      <c r="I25" s="15" t="s">
        <v>278</v>
      </c>
      <c r="J25" s="15" t="s">
        <v>179</v>
      </c>
      <c r="K25" s="15" t="s">
        <v>180</v>
      </c>
      <c r="L25" s="15" t="s">
        <v>181</v>
      </c>
      <c r="M25" s="15" t="s">
        <v>210</v>
      </c>
      <c r="N25" s="15" t="s">
        <v>298</v>
      </c>
      <c r="O25" s="15" t="s">
        <v>184</v>
      </c>
      <c r="P25" s="15" t="s">
        <v>213</v>
      </c>
      <c r="Q25" s="15" t="s">
        <v>272</v>
      </c>
      <c r="R25" s="15" t="s">
        <v>236</v>
      </c>
      <c r="S25" s="15" t="s">
        <v>179</v>
      </c>
      <c r="T25" s="15" t="s">
        <v>189</v>
      </c>
      <c r="U25" s="15" t="s">
        <v>364</v>
      </c>
      <c r="V25" s="15" t="s">
        <v>217</v>
      </c>
      <c r="W25" s="15" t="s">
        <v>192</v>
      </c>
      <c r="X25" s="15" t="s">
        <v>193</v>
      </c>
      <c r="Y25" s="15" t="s">
        <v>238</v>
      </c>
      <c r="Z25" s="15" t="s">
        <v>520</v>
      </c>
      <c r="AA25" s="16" t="s">
        <v>179</v>
      </c>
      <c r="AB25" s="16" t="s">
        <v>179</v>
      </c>
      <c r="AC25" s="16" t="s">
        <v>179</v>
      </c>
      <c r="AD25" s="16" t="s">
        <v>179</v>
      </c>
      <c r="AE25" s="16" t="s">
        <v>426</v>
      </c>
      <c r="AF25" s="16" t="s">
        <v>197</v>
      </c>
      <c r="AG25" s="16" t="s">
        <v>198</v>
      </c>
      <c r="AH25" s="16" t="s">
        <v>199</v>
      </c>
      <c r="AI25" s="16" t="s">
        <v>529</v>
      </c>
      <c r="AJ25" s="16" t="s">
        <v>373</v>
      </c>
      <c r="AK25" s="16" t="s">
        <v>58</v>
      </c>
      <c r="AL25" s="16" t="s">
        <v>265</v>
      </c>
      <c r="AM25" s="16" t="s">
        <v>58</v>
      </c>
      <c r="AN25" s="16" t="s">
        <v>202</v>
      </c>
      <c r="AO25" s="16" t="s">
        <v>285</v>
      </c>
      <c r="AP25" s="16" t="s">
        <v>277</v>
      </c>
      <c r="AQ25" s="16" t="s">
        <v>205</v>
      </c>
      <c r="AR25" s="18">
        <v>3</v>
      </c>
      <c r="AS25" s="18" t="s">
        <v>225</v>
      </c>
    </row>
    <row r="33" spans="1:1" x14ac:dyDescent="0.2">
      <c r="A33" t="s">
        <v>507</v>
      </c>
    </row>
    <row r="34" spans="1:1" x14ac:dyDescent="0.2">
      <c r="A34" t="s">
        <v>508</v>
      </c>
    </row>
    <row r="35" spans="1:1" x14ac:dyDescent="0.2">
      <c r="A35" t="s">
        <v>509</v>
      </c>
    </row>
    <row r="36" spans="1:1" x14ac:dyDescent="0.2">
      <c r="A36" t="s">
        <v>510</v>
      </c>
    </row>
    <row r="37" spans="1:1" x14ac:dyDescent="0.2">
      <c r="A37" t="s">
        <v>124</v>
      </c>
    </row>
    <row r="38" spans="1:1" x14ac:dyDescent="0.2">
      <c r="A38" t="s">
        <v>512</v>
      </c>
    </row>
    <row r="39" spans="1:1" x14ac:dyDescent="0.2">
      <c r="A39" t="s">
        <v>128</v>
      </c>
    </row>
    <row r="40" spans="1:1" x14ac:dyDescent="0.2">
      <c r="A40" t="s">
        <v>513</v>
      </c>
    </row>
    <row r="41" spans="1:1" x14ac:dyDescent="0.2">
      <c r="A41" t="s">
        <v>514</v>
      </c>
    </row>
    <row r="42" spans="1:1" x14ac:dyDescent="0.2">
      <c r="A42" t="s">
        <v>515</v>
      </c>
    </row>
    <row r="43" spans="1:1" x14ac:dyDescent="0.2">
      <c r="A43" t="s">
        <v>516</v>
      </c>
    </row>
    <row r="44" spans="1:1" x14ac:dyDescent="0.2">
      <c r="A44" t="s">
        <v>116</v>
      </c>
    </row>
    <row r="45" spans="1:1" x14ac:dyDescent="0.2">
      <c r="A45" t="s">
        <v>517</v>
      </c>
    </row>
    <row r="46" spans="1:1" x14ac:dyDescent="0.2">
      <c r="A46" t="s">
        <v>518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taxa</vt:lpstr>
      <vt:lpstr>Sheet2</vt:lpstr>
      <vt:lpstr>media-temp</vt:lpstr>
      <vt:lpstr>characters</vt:lpstr>
      <vt:lpstr>values</vt:lpstr>
      <vt:lpstr>media</vt:lpstr>
      <vt:lpstr>config</vt:lpstr>
      <vt:lpstr>taxa May 16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David Cappaert</cp:lastModifiedBy>
  <dcterms:created xsi:type="dcterms:W3CDTF">2015-11-24T14:25:35Z</dcterms:created>
  <dcterms:modified xsi:type="dcterms:W3CDTF">2023-06-04T19:50:24Z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47a1d844-d18c-40b7-9fbd-cb9d360259fe</vt:lpwstr>
  </property>
</Properties>
</file>